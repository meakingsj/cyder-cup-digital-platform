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1ce62edf2346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Leaderboard" sheetId="1" r:id="Rd810f0f9f54640b5"/>
    <x:sheet xmlns:r="http://schemas.openxmlformats.org/officeDocument/2006/relationships" name="Record Book" sheetId="2" r:id="R4a3dcb43fc484ca9"/>
    <x:sheet xmlns:r="http://schemas.openxmlformats.org/officeDocument/2006/relationships" name="Player Stats" sheetId="3" r:id="R7a29a3f8be084c4c"/>
    <x:sheet xmlns:r="http://schemas.openxmlformats.org/officeDocument/2006/relationships" name="Feed - Matches" sheetId="4" r:id="Ra88fadab9a6a4b58"/>
    <x:sheet xmlns:r="http://schemas.openxmlformats.org/officeDocument/2006/relationships" name="Feed - Players" sheetId="5" r:id="R1215211747874528"/>
    <x:sheet xmlns:r="http://schemas.openxmlformats.org/officeDocument/2006/relationships" name="Feed - Tournaments" sheetId="6" r:id="Rc2b03467a54f4b08"/>
    <x:sheet xmlns:r="http://schemas.openxmlformats.org/officeDocument/2006/relationships" name="Feed - Records" sheetId="7" r:id="R3184b2406fc94fb2"/>
    <x:sheet xmlns:r="http://schemas.openxmlformats.org/officeDocument/2006/relationships" name="Feed - Site Config" sheetId="8" r:id="Rbd27d24f3bb440eb"/>
  </x:sheets>
</x:workbook>
</file>

<file path=xl/sharedStrings.xml><?xml version="1.0" encoding="utf-8"?>
<x:sst xmlns:x="http://schemas.openxmlformats.org/spreadsheetml/2006/main">
  <x:si>
    <x:t xml:space="preserve">CYDER CUP • LIVE LEADERBOARD</x:t>
  </x:si>
  <x:si>
    <x:t xml:space="preserve">Winning total</x:t>
  </x:si>
  <x:si>
    <x:t xml:space="preserve">Total points</x:t>
  </x:si>
  <x:si>
    <x:t xml:space="preserve">TEAM NAVY</x:t>
  </x:si>
  <x:si>
    <x:t xml:space="preserve">CUP STATUS</x:t>
  </x:si>
  <x:si>
    <x:t xml:space="preserve">TEAM RED</x:t>
  </x:si>
  <x:si>
    <x:t xml:space="preserve">ALL-TEAM EVENTS</x:t>
  </x:si>
  <x:si>
    <x:t xml:space="preserve">Event</x:t>
  </x:si>
  <x:si>
    <x:t xml:space="preserve">Segment</x:t>
  </x:si>
  <x:si>
    <x:t xml:space="preserve">Points</x:t>
  </x:si>
  <x:si>
    <x:t xml:space="preserve">Winner</x:t>
  </x:si>
  <x:si>
    <x:t xml:space="preserve">Result / Notes</x:t>
  </x:si>
  <x:si>
    <x:t xml:space="preserve">Status</x:t>
  </x:si>
  <x:si>
    <x:t xml:space="preserve">Red Pts</x:t>
  </x:si>
  <x:si>
    <x:t xml:space="preserve">Navy Pts</x:t>
  </x:si>
  <x:si>
    <x:t xml:space="preserve">Website Key</x:t>
  </x:si>
  <x:si>
    <x:t xml:space="preserve">Scramble</x:t>
  </x:si>
  <x:si>
    <x:t xml:space="preserve">Front 9</x:t>
  </x:si>
  <x:si>
    <x:t xml:space="preserve">scramble-front-9</x:t>
  </x:si>
  <x:si>
    <x:t xml:space="preserve">Back 9</x:t>
  </x:si>
  <x:si>
    <x:t xml:space="preserve">scramble-back-9</x:t>
  </x:si>
  <x:si>
    <x:t xml:space="preserve">Overall</x:t>
  </x:si>
  <x:si>
    <x:t xml:space="preserve">scramble-overall</x:t>
  </x:si>
  <x:si>
    <x:t xml:space="preserve">Drinking Games #1</x:t>
  </x:si>
  <x:si>
    <x:t xml:space="preserve">Single event</x:t>
  </x:si>
  <x:si>
    <x:t xml:space="preserve">drinking-1</x:t>
  </x:si>
  <x:si>
    <x:t xml:space="preserve">Drinking Games #2</x:t>
  </x:si>
  <x:si>
    <x:t xml:space="preserve">drinking-2</x:t>
  </x:si>
  <x:si>
    <x:t xml:space="preserve">Drinking Games #3</x:t>
  </x:si>
  <x:si>
    <x:t xml:space="preserve">drinking-3</x:t>
  </x:si>
  <x:si>
    <x:t xml:space="preserve">Drinking Games #4</x:t>
  </x:si>
  <x:si>
    <x:t xml:space="preserve">drinking-4</x:t>
  </x:si>
  <x:si>
    <x:t xml:space="preserve">Drinking Games #5</x:t>
  </x:si>
  <x:si>
    <x:t xml:space="preserve">drinking-5</x:t>
  </x:si>
  <x:si>
    <x:t xml:space="preserve">SELECT-PLAYER EVENTS</x:t>
  </x:si>
  <x:si>
    <x:t xml:space="preserve">Red Player 1</x:t>
  </x:si>
  <x:si>
    <x:t xml:space="preserve">Red Player 2</x:t>
  </x:si>
  <x:si>
    <x:t xml:space="preserve">Navy Player 1</x:t>
  </x:si>
  <x:si>
    <x:t xml:space="preserve">Navy Player 2</x:t>
  </x:si>
  <x:si>
    <x:t xml:space="preserve">Fourball #1</x:t>
  </x:si>
  <x:si>
    <x:t xml:space="preserve">MATCH SUBTOTAL</x:t>
  </x:si>
  <x:si>
    <x:t xml:space="preserve">Kevin Catliff</x:t>
  </x:si>
  <x:si>
    <x:t xml:space="preserve">Sam Griffiths</x:t>
  </x:si>
  <x:si>
    <x:t xml:space="preserve">JJ Meakings</x:t>
  </x:si>
  <x:si>
    <x:t xml:space="preserve">Eric Bleim</x:t>
  </x:si>
  <x:si>
    <x:t xml:space="preserve">fourball-1</x:t>
  </x:si>
  <x:si>
    <x:t xml:space="preserve">fourball-1-front-9</x:t>
  </x:si>
  <x:si>
    <x:t xml:space="preserve">fourball-1-back-9</x:t>
  </x:si>
  <x:si>
    <x:t xml:space="preserve">fourball-1-overall</x:t>
  </x:si>
  <x:si>
    <x:t xml:space="preserve">Fourball #2</x:t>
  </x:si>
  <x:si>
    <x:t xml:space="preserve">Sean Bromley</x:t>
  </x:si>
  <x:si>
    <x:t xml:space="preserve">Dylan Bradley</x:t>
  </x:si>
  <x:si>
    <x:t xml:space="preserve">Steven Wells</x:t>
  </x:si>
  <x:si>
    <x:t xml:space="preserve">George Collister</x:t>
  </x:si>
  <x:si>
    <x:t xml:space="preserve">fourball-2</x:t>
  </x:si>
  <x:si>
    <x:t xml:space="preserve">fourball-2-front-9</x:t>
  </x:si>
  <x:si>
    <x:t xml:space="preserve">fourball-2-back-9</x:t>
  </x:si>
  <x:si>
    <x:t xml:space="preserve">fourball-2-overall</x:t>
  </x:si>
  <x:si>
    <x:t xml:space="preserve">Singles #1</x:t>
  </x:si>
  <x:si>
    <x:t xml:space="preserve">singles-1</x:t>
  </x:si>
  <x:si>
    <x:t xml:space="preserve">singles-1-front-9</x:t>
  </x:si>
  <x:si>
    <x:t xml:space="preserve">singles-1-back-9</x:t>
  </x:si>
  <x:si>
    <x:t xml:space="preserve">singles-1-overall</x:t>
  </x:si>
  <x:si>
    <x:t xml:space="preserve">Singles #2</x:t>
  </x:si>
  <x:si>
    <x:t xml:space="preserve">singles-2</x:t>
  </x:si>
  <x:si>
    <x:t xml:space="preserve">singles-2-front-9</x:t>
  </x:si>
  <x:si>
    <x:t xml:space="preserve">singles-2-back-9</x:t>
  </x:si>
  <x:si>
    <x:t xml:space="preserve">singles-2-overall</x:t>
  </x:si>
  <x:si>
    <x:t xml:space="preserve">Singles #3</x:t>
  </x:si>
  <x:si>
    <x:t xml:space="preserve">singles-3</x:t>
  </x:si>
  <x:si>
    <x:t xml:space="preserve">singles-3-front-9</x:t>
  </x:si>
  <x:si>
    <x:t xml:space="preserve">singles-3-back-9</x:t>
  </x:si>
  <x:si>
    <x:t xml:space="preserve">singles-3-overall</x:t>
  </x:si>
  <x:si>
    <x:t xml:space="preserve">Singles #4</x:t>
  </x:si>
  <x:si>
    <x:t xml:space="preserve">singles-4</x:t>
  </x:si>
  <x:si>
    <x:t xml:space="preserve">singles-4-front-9</x:t>
  </x:si>
  <x:si>
    <x:t xml:space="preserve">singles-4-back-9</x:t>
  </x:si>
  <x:si>
    <x:t xml:space="preserve">singles-4-overall</x:t>
  </x:si>
  <x:si>
    <x:t xml:space="preserve">CURRENT CUP • PLAYER PERFORMANCE</x:t>
  </x:si>
  <x:si>
    <x:t xml:space="preserve">SCORING NOTES
• Scramble and each Fourball match award 1 point for Front 9, 1 point for Back 9, and 1 point for Overall.
• Each Singles match awards 2 points for Front 9, 2 points for Back 9, and 2 points for Overall.
• A tie always splits the available points equally.
• All-team events credit every team member; Fourball and Singles credit only selected players.</x:t>
  </x:si>
  <x:si>
    <x:t xml:space="preserve">Player</x:t>
  </x:si>
  <x:si>
    <x:t xml:space="preserve">Team</x:t>
  </x:si>
  <x:si>
    <x:t xml:space="preserve">Segments Played</x:t>
  </x:si>
  <x:si>
    <x:t xml:space="preserve">Wins</x:t>
  </x:si>
  <x:si>
    <x:t xml:space="preserve">Losses</x:t>
  </x:si>
  <x:si>
    <x:t xml:space="preserve">Ties</x:t>
  </x:si>
  <x:si>
    <x:t xml:space="preserve">Points Won</x:t>
  </x:si>
  <x:si>
    <x:t xml:space="preserve">Win %</x:t>
  </x:si>
  <x:si>
    <x:t xml:space="preserve">Red</x:t>
  </x:si>
  <x:si>
    <x:t xml:space="preserve">Navy</x:t>
  </x:si>
  <x:si>
    <x:t xml:space="preserve">CYDER CUP • RECORD BOOK</x:t>
  </x:si>
  <x:si>
    <x:t xml:space="preserve">Career history, annual champions, and player-level match results</x:t>
  </x:si>
  <x:si>
    <x:t xml:space="preserve">ANNUAL CUP RESULTS</x:t>
  </x:si>
  <x:si>
    <x:t xml:space="preserve">Year</x:t>
  </x:si>
  <x:si>
    <x:t xml:space="preserve">Champion</x:t>
  </x:si>
  <x:si>
    <x:t xml:space="preserve">Captain</x:t>
  </x:si>
  <x:si>
    <x:t xml:space="preserve">Final Score</x:t>
  </x:si>
  <x:si>
    <x:t xml:space="preserve">13.5 - 1.5</x:t>
  </x:si>
  <x:si>
    <x:t xml:space="preserve">10 - 5</x:t>
  </x:si>
  <x:si>
    <x:t xml:space="preserve">9 - 6</x:t>
  </x:si>
  <x:si>
    <x:t xml:space="preserve">8 - 7</x:t>
  </x:si>
  <x:si>
    <x:t xml:space="preserve">9.5 - 5.5</x:t>
  </x:si>
  <x:si>
    <x:t xml:space="preserve">ALL-TIME PLAYER RECORDS</x:t>
  </x:si>
  <x:si>
    <x:t xml:space="preserve">W</x:t>
  </x:si>
  <x:si>
    <x:t xml:space="preserve">L</x:t>
  </x:si>
  <x:si>
    <x:t xml:space="preserve">T</x:t>
  </x:si>
  <x:si>
    <x:t xml:space="preserve">Points %</x:t>
  </x:si>
  <x:si>
    <x:t xml:space="preserve">PLAYER MATCH HISTORY</x:t>
  </x:si>
  <x:si>
    <x:t xml:space="preserve">One row per player • Singles opponents shown separately • Use this table for future website records</x:t>
  </x:si>
  <x:si>
    <x:t xml:space="preserve">Day</x:t>
  </x:si>
  <x:si>
    <x:t xml:space="preserve">Format</x:t>
  </x:si>
  <x:si>
    <x:t xml:space="preserve">Teammate(s)</x:t>
  </x:si>
  <x:si>
    <x:t xml:space="preserve">Singles Opponent</x:t>
  </x:si>
  <x:si>
    <x:t xml:space="preserve">Result</x:t>
  </x:si>
  <x:si>
    <x:t xml:space="preserve">Score / Notes</x:t>
  </x:si>
  <x:si>
    <x:t xml:space="preserve">Session 1a</x:t>
  </x:si>
  <x:si>
    <x:t xml:space="preserve">Fourball</x:t>
  </x:si>
  <x:si>
    <x:t xml:space="preserve">NAVY 2&amp;1</x:t>
  </x:si>
  <x:si>
    <x:t xml:space="preserve">Session 1b</x:t>
  </x:si>
  <x:si>
    <x:t xml:space="preserve">NAVY 7&amp;5</x:t>
  </x:si>
  <x:si>
    <x:t xml:space="preserve">Session 2a</x:t>
  </x:si>
  <x:si>
    <x:t xml:space="preserve">RED 3 under</x:t>
  </x:si>
  <x:si>
    <x:t xml:space="preserve">Session 2b</x:t>
  </x:si>
  <x:si>
    <x:t xml:space="preserve">NAVY 2 under</x:t>
  </x:si>
  <x:si>
    <x:t xml:space="preserve">Session 3</x:t>
  </x:si>
  <x:si>
    <x:t xml:space="preserve">Singles</x:t>
  </x:si>
  <x:si>
    <x:t xml:space="preserve">A/S</x:t>
  </x:si>
  <x:si>
    <x:t xml:space="preserve">NAVY 4&amp;3</x:t>
  </x:si>
  <x:si>
    <x:t xml:space="preserve">RED 3&amp;2</x:t>
  </x:si>
  <x:si>
    <x:t xml:space="preserve">RED 4&amp;3</x:t>
  </x:si>
  <x:si>
    <x:t xml:space="preserve">NAVY 1 UP</x:t>
  </x:si>
  <x:si>
    <x:t xml:space="preserve">RED 7&amp;5</x:t>
  </x:si>
  <x:si>
    <x:t xml:space="preserve">NAVY 3&amp;2</x:t>
  </x:si>
  <x:si>
    <x:t xml:space="preserve">NAVY 4 under</x:t>
  </x:si>
  <x:si>
    <x:t xml:space="preserve">RED 4 under</x:t>
  </x:si>
  <x:si>
    <x:t xml:space="preserve">RED 2&amp;1</x:t>
  </x:si>
  <x:si>
    <x:t xml:space="preserve">RED 5&amp;4</x:t>
  </x:si>
  <x:si>
    <x:t xml:space="preserve">RED 1 UP</x:t>
  </x:si>
  <x:si>
    <x:t xml:space="preserve">RED 6&amp;5</x:t>
  </x:si>
  <x:si>
    <x:t xml:space="preserve">RED 2 under</x:t>
  </x:si>
  <x:si>
    <x:t xml:space="preserve">NAVY 3 under</x:t>
  </x:si>
  <x:si>
    <x:t xml:space="preserve">NAVY 2UP</x:t>
  </x:si>
  <x:si>
    <x:t xml:space="preserve">RED 4&amp;2</x:t>
  </x:si>
  <x:si>
    <x:t xml:space="preserve">Session 2</x:t>
  </x:si>
  <x:si>
    <x:t xml:space="preserve">All</x:t>
  </x:si>
  <x:si>
    <x:t xml:space="preserve">NAVY 15 under</x:t>
  </x:si>
  <x:si>
    <x:t xml:space="preserve">NAVY 5&amp;4</x:t>
  </x:si>
  <x:si>
    <x:t xml:space="preserve">Session 1</x:t>
  </x:si>
  <x:si>
    <x:t xml:space="preserve">Match</x:t>
  </x:si>
  <x:si>
    <x:t xml:space="preserve">CYDER CUP • PLAYER DATABASE</x:t>
  </x:si>
  <x:si>
    <x:t xml:space="preserve">Player ID</x:t>
  </x:si>
  <x:si>
    <x:t xml:space="preserve">Display Name</x:t>
  </x:si>
  <x:si>
    <x:t xml:space="preserve">Active</x:t>
  </x:si>
  <x:si>
    <x:t xml:space="preserve">Career W</x:t>
  </x:si>
  <x:si>
    <x:t xml:space="preserve">Career L</x:t>
  </x:si>
  <x:si>
    <x:t xml:space="preserve">Career T</x:t>
  </x:si>
  <x:si>
    <x:t xml:space="preserve">Career Matches</x:t>
  </x:si>
  <x:si>
    <x:t xml:space="preserve">Career Win %</x:t>
  </x:si>
  <x:si>
    <x:t xml:space="preserve">2026 Cup W</x:t>
  </x:si>
  <x:si>
    <x:t xml:space="preserve">2026 Cup L</x:t>
  </x:si>
  <x:si>
    <x:t xml:space="preserve">2026 Cup T</x:t>
  </x:si>
  <x:si>
    <x:t xml:space="preserve">First Name</x:t>
  </x:si>
  <x:si>
    <x:t xml:space="preserve">Last Name</x:t>
  </x:si>
  <x:si>
    <x:t xml:space="preserve">Handicap</x:t>
  </x:si>
  <x:si>
    <x:t xml:space="preserve">Hometown</x:t>
  </x:si>
  <x:si>
    <x:t xml:space="preserve">Home Course</x:t>
  </x:si>
  <x:si>
    <x:t xml:space="preserve">Favorite Drink</x:t>
  </x:si>
  <x:si>
    <x:t xml:space="preserve">Walkout Music</x:t>
  </x:si>
  <x:si>
    <x:t xml:space="preserve">Bio</x:t>
  </x:si>
  <x:si>
    <x:t xml:space="preserve">Photo Key</x:t>
  </x:si>
  <x:si>
    <x:t xml:space="preserve">red-sam</x:t>
  </x:si>
  <x:si>
    <x:t xml:space="preserve">Yes</x:t>
  </x:si>
  <x:si>
    <x:t xml:space="preserve">Sam</x:t>
  </x:si>
  <x:si>
    <x:t xml:space="preserve">Griffiths</x:t>
  </x:si>
  <x:si>
    <x:t xml:space="preserve">North Vancouver, British Columbia</x:t>
  </x:si>
  <x:si>
    <x:t xml:space="preserve">Sunningdale Golf Club</x:t>
  </x:si>
  <x:si>
    <x:t xml:space="preserve">Guinness</x:t>
  </x:si>
  <x:si>
    <x:t xml:space="preserve">I Don’t Wanna Be – Gavin Degraw</x:t>
  </x:si>
  <x:si>
    <x:t xml:space="preserve">Sam is from North Vancouver, British Columbia and plays out of Sunningdale Golf Club. Current handicap: 13.</x:t>
  </x:si>
  <x:si>
    <x:t xml:space="preserve">red-kevin</x:t>
  </x:si>
  <x:si>
    <x:t xml:space="preserve">Kevin</x:t>
  </x:si>
  <x:si>
    <x:t xml:space="preserve">Catliff</x:t>
  </x:si>
  <x:si>
    <x:t xml:space="preserve">Vancouver, British Columbia</x:t>
  </x:si>
  <x:si>
    <x:t xml:space="preserve">Bowen Island Golf Club</x:t>
  </x:si>
  <x:si>
    <x:t xml:space="preserve">Suntory</x:t>
  </x:si>
  <x:si>
    <x:t xml:space="preserve">Heaven Takes You Home - SHM</x:t>
  </x:si>
  <x:si>
    <x:t xml:space="preserve">Kevin is from Vancouver, British Columbia and plays out of Bowen Island Golf Club. Current handicap: 8.</x:t>
  </x:si>
  <x:si>
    <x:t xml:space="preserve">red-sean</x:t>
  </x:si>
  <x:si>
    <x:t xml:space="preserve">Sean</x:t>
  </x:si>
  <x:si>
    <x:t xml:space="preserve">Bromley</x:t>
  </x:si>
  <x:si>
    <x:t xml:space="preserve">Capilano Golf and Country Club</x:t>
  </x:si>
  <x:si>
    <x:t xml:space="preserve">Whiskey</x:t>
  </x:si>
  <x:si>
    <x:t xml:space="preserve">Beer Never Broke My Heart - Luke Combs</x:t>
  </x:si>
  <x:si>
    <x:t xml:space="preserve">Sean is from Vancouver, British Columbia and plays out of Capilano Golf and Country Club. Current handicap: 21.</x:t>
  </x:si>
  <x:si>
    <x:t xml:space="preserve">red-dylan</x:t>
  </x:si>
  <x:si>
    <x:t xml:space="preserve">Dylan</x:t>
  </x:si>
  <x:si>
    <x:t xml:space="preserve">Bradley</x:t>
  </x:si>
  <x:si>
    <x:t xml:space="preserve">Pitt Meadows, British Columbia</x:t>
  </x:si>
  <x:si>
    <x:t xml:space="preserve">Pitt Meadows Golf Club</x:t>
  </x:si>
  <x:si>
    <x:t xml:space="preserve">Tequila Soda</x:t>
  </x:si>
  <x:si>
    <x:t xml:space="preserve">Shook Ones – Mobb Deep</x:t>
  </x:si>
  <x:si>
    <x:t xml:space="preserve">Dylan is from Pitt Meadows, British Columbia and plays out of Pitt Meadows Golf Club. Current handicap: 15.</x:t>
  </x:si>
  <x:si>
    <x:t xml:space="preserve">navy-eric</x:t>
  </x:si>
  <x:si>
    <x:t xml:space="preserve">Eric</x:t>
  </x:si>
  <x:si>
    <x:t xml:space="preserve">Bleim</x:t>
  </x:si>
  <x:si>
    <x:t xml:space="preserve">The Redwoods Golf Course</x:t>
  </x:si>
  <x:si>
    <x:t xml:space="preserve">Orange Crush (zero sugar)</x:t>
  </x:si>
  <x:si>
    <x:t xml:space="preserve">Pink Pony Club – Chappell Roan</x:t>
  </x:si>
  <x:si>
    <x:t xml:space="preserve">Eric is from North Vancouver, British Columbia and plays out of The Redwoods Golf Course. Current handicap: 16.</x:t>
  </x:si>
  <x:si>
    <x:t xml:space="preserve">navy-george</x:t>
  </x:si>
  <x:si>
    <x:t xml:space="preserve">George</x:t>
  </x:si>
  <x:si>
    <x:t xml:space="preserve">Collister</x:t>
  </x:si>
  <x:si>
    <x:t xml:space="preserve">Langley, British Columbia</x:t>
  </x:si>
  <x:si>
    <x:t xml:space="preserve">Miller Lite</x:t>
  </x:si>
  <x:si>
    <x:t xml:space="preserve">Money for nothing – Dire Straights</x:t>
  </x:si>
  <x:si>
    <x:t xml:space="preserve">George is from Langley, British Columbia and plays out of The Redwoods Golf Course. Current handicap: 12.</x:t>
  </x:si>
  <x:si>
    <x:t xml:space="preserve">navy-steven</x:t>
  </x:si>
  <x:si>
    <x:t xml:space="preserve">Steven</x:t>
  </x:si>
  <x:si>
    <x:t xml:space="preserve">Wells</x:t>
  </x:si>
  <x:si>
    <x:t xml:space="preserve">Glen Eagles Golf Course</x:t>
  </x:si>
  <x:si>
    <x:t xml:space="preserve">TBD</x:t>
  </x:si>
  <x:si>
    <x:t xml:space="preserve">Steven is from North Vancouver, British Columbia and plays out of Glen Eagles Golf Course. Current handicap: 24.</x:t>
  </x:si>
  <x:si>
    <x:t xml:space="preserve">navy-jj</x:t>
  </x:si>
  <x:si>
    <x:t xml:space="preserve">JJ</x:t>
  </x:si>
  <x:si>
    <x:t xml:space="preserve">Meakings</x:t>
  </x:si>
  <x:si>
    <x:t xml:space="preserve">Scottsdale, Arizona</x:t>
  </x:si>
  <x:si>
    <x:t xml:space="preserve">Trilogy Golf Club at Vistancia</x:t>
  </x:si>
  <x:si>
    <x:t xml:space="preserve">Diet Coke</x:t>
  </x:si>
  <x:si>
    <x:t xml:space="preserve">Victory Lap – Fred Again</x:t>
  </x:si>
  <x:si>
    <x:t xml:space="preserve">JJ is from Scottsdale, Arizona and plays out of Trilogy Golf Club at Vistancia. Current handicap: 5.</x:t>
  </x:si>
  <x:si>
    <x:t xml:space="preserve">PURPOSE: canonical player names and IDs for dropdowns, statistics, profiles, and website URLs</x:t>
  </x:si>
  <x:si>
    <x:t xml:space="preserve">match_id</x:t>
  </x:si>
  <x:si>
    <x:t xml:space="preserve">tournament_id</x:t>
  </x:si>
  <x:si>
    <x:t xml:space="preserve">session_id</x:t>
  </x:si>
  <x:si>
    <x:t xml:space="preserve">match_number</x:t>
  </x:si>
  <x:si>
    <x:t xml:space="preserve">event_name</x:t>
  </x:si>
  <x:si>
    <x:t xml:space="preserve">format</x:t>
  </x:si>
  <x:si>
    <x:t xml:space="preserve">status</x:t>
  </x:si>
  <x:si>
    <x:t xml:space="preserve">navy_player_1</x:t>
  </x:si>
  <x:si>
    <x:t xml:space="preserve">navy_player_2</x:t>
  </x:si>
  <x:si>
    <x:t xml:space="preserve">red_player_1</x:t>
  </x:si>
  <x:si>
    <x:t xml:space="preserve">red_player_2</x:t>
  </x:si>
  <x:si>
    <x:t xml:space="preserve">start_time</x:t>
  </x:si>
  <x:si>
    <x:t xml:space="preserve">current_hole</x:t>
  </x:si>
  <x:si>
    <x:t xml:space="preserve">display_score</x:t>
  </x:si>
  <x:si>
    <x:t xml:space="preserve">result</x:t>
  </x:si>
  <x:si>
    <x:t xml:space="preserve">navy_points</x:t>
  </x:si>
  <x:si>
    <x:t xml:space="preserve">red_points</x:t>
  </x:si>
  <x:si>
    <x:t xml:space="preserve">points_available</x:t>
  </x:si>
  <x:si>
    <x:t xml:space="preserve">player_id</x:t>
  </x:si>
  <x:si>
    <x:t xml:space="preserve">first_name</x:t>
  </x:si>
  <x:si>
    <x:t xml:space="preserve">last_name</x:t>
  </x:si>
  <x:si>
    <x:t xml:space="preserve">display_name</x:t>
  </x:si>
  <x:si>
    <x:t xml:space="preserve">team_id</x:t>
  </x:si>
  <x:si>
    <x:t xml:space="preserve">active</x:t>
  </x:si>
  <x:si>
    <x:t xml:space="preserve">handicap</x:t>
  </x:si>
  <x:si>
    <x:t xml:space="preserve">hometown</x:t>
  </x:si>
  <x:si>
    <x:t xml:space="preserve">home_course</x:t>
  </x:si>
  <x:si>
    <x:t xml:space="preserve">favorite_drink</x:t>
  </x:si>
  <x:si>
    <x:t xml:space="preserve">walkout_music</x:t>
  </x:si>
  <x:si>
    <x:t xml:space="preserve">bio</x:t>
  </x:si>
  <x:si>
    <x:t xml:space="preserve">career_wins</x:t>
  </x:si>
  <x:si>
    <x:t xml:space="preserve">career_losses</x:t>
  </x:si>
  <x:si>
    <x:t xml:space="preserve">career_ties</x:t>
  </x:si>
  <x:si>
    <x:t xml:space="preserve">career_matches</x:t>
  </x:si>
  <x:si>
    <x:t xml:space="preserve">career_points</x:t>
  </x:si>
  <x:si>
    <x:t xml:space="preserve">career_points_percentage</x:t>
  </x:si>
  <x:si>
    <x:t xml:space="preserve">photo_key</x:t>
  </x:si>
  <x:si>
    <x:t xml:space="preserve">year</x:t>
  </x:si>
  <x:si>
    <x:t xml:space="preserve">name</x:t>
  </x:si>
  <x:si>
    <x:t xml:space="preserve">venue</x:t>
  </x:si>
  <x:si>
    <x:t xml:space="preserve">city</x:t>
  </x:si>
  <x:si>
    <x:t xml:space="preserve">region</x:t>
  </x:si>
  <x:si>
    <x:t xml:space="preserve">country</x:t>
  </x:si>
  <x:si>
    <x:t xml:space="preserve">start_date</x:t>
  </x:si>
  <x:si>
    <x:t xml:space="preserve">end_date</x:t>
  </x:si>
  <x:si>
    <x:t xml:space="preserve">winning_team</x:t>
  </x:si>
  <x:si>
    <x:t xml:space="preserve">points_to_win</x:t>
  </x:si>
  <x:si>
    <x:t xml:space="preserve">mvp_player_id</x:t>
  </x:si>
  <x:si>
    <x:t xml:space="preserve">summary</x:t>
  </x:si>
  <x:si>
    <x:t xml:space="preserve">cyder-cup-2026</x:t>
  </x:si>
  <x:si>
    <x:t xml:space="preserve">Cyder Cup 2026</x:t>
  </x:si>
  <x:si>
    <x:t xml:space="preserve">upcoming</x:t>
  </x:si>
  <x:si>
    <x:t xml:space="preserve">The 2026 Cyder Cup is the current tournament.</x:t>
  </x:si>
  <x:si>
    <x:t xml:space="preserve">config_key</x:t>
  </x:si>
  <x:si>
    <x:t xml:space="preserve">config_value</x:t>
  </x:si>
  <x:si>
    <x:t xml:space="preserve">description</x:t>
  </x:si>
  <x:si>
    <x:t xml:space="preserve">current_tournament_id</x:t>
  </x:si>
  <x:si>
    <x:t xml:space="preserve">Tournament displayed as the current event</x:t>
  </x:si>
  <x:si>
    <x:t xml:space="preserve">site_title</x:t>
  </x:si>
  <x:si>
    <x:t xml:space="preserve">Cyder Cup</x:t>
  </x:si>
  <x:si>
    <x:t xml:space="preserve">Website title</x:t>
  </x:si>
  <x:si>
    <x:t xml:space="preserve">live_scoring_enabled</x:t>
  </x:si>
  <x:si>
    <x:t xml:space="preserve">Controls whether the live scoring experience is enabled</x:t>
  </x:si>
  <x:si>
    <x:t xml:space="preserve">timezone</x:t>
  </x:si>
  <x:si>
    <x:t xml:space="preserve">America/Phoenix</x:t>
  </x:si>
  <x:si>
    <x:t xml:space="preserve">Default timezone used for website dates and times</x:t>
  </x:si>
  <x:si>
    <x:t xml:space="preserve">navy_team_id</x:t>
  </x:si>
  <x:si>
    <x:t xml:space="preserve">navy</x:t>
  </x:si>
  <x:si>
    <x:t xml:space="preserve">Canonical Team Navy identifier</x:t>
  </x:si>
  <x:si>
    <x:t xml:space="preserve">red_team_id</x:t>
  </x:si>
  <x:si>
    <x:t xml:space="preserve">red</x:t>
  </x:si>
  <x:si>
    <x:t xml:space="preserve">Canonical Team Red identifier</x:t>
  </x:si>
  <x:si>
    <x:t xml:space="preserve">Points required to win the current tournament</x:t>
  </x:si>
  <x:si>
    <x:t xml:space="preserve">total_points_available</x:t>
  </x:si>
  <x:si>
    <x:t xml:space="preserve">Total points available in the current tournament</x:t>
  </x:si>
  <x:si>
    <x:t xml:space="preserve">data_version</x:t>
  </x:si>
  <x:si>
    <x:t xml:space="preserve">Website feed schema version</x:t>
  </x:si>
</x:sst>
</file>

<file path=xl/styles.xml><?xml version="1.0" encoding="utf-8"?>
<x:styleSheet xmlns:x="http://schemas.openxmlformats.org/spreadsheetml/2006/main">
  <x:numFmts count="6">
    <x:numFmt numFmtId="164" formatCode="mmmm\ d\,\ yyyy"/>
    <x:numFmt numFmtId="165" formatCode="0.0%"/>
    <x:numFmt numFmtId="166" formatCode="0.0"/>
    <x:numFmt numFmtId="167" formatCode="yyyy\-mm\-dd"/>
    <x:numFmt numFmtId="200" formatCode="yyyy-mm-dd"/>
    <x:numFmt numFmtId="201" formatCode="0"/>
  </x:numFmts>
  <x:fonts count="38">
    <x:font>
      <x:sz val="10"/>
      <x:color rgb="FF000000"/>
      <x:name val="Arial"/>
    </x:font>
    <x:font>
      <x:sz val="10"/>
      <x:color theme="1"/>
      <x:name val="Arial"/>
    </x:font>
    <x:font>
      <x:b/>
      <x:sz val="10"/>
      <x:color rgb="FFFFFFFF"/>
      <x:name val="Arial"/>
    </x:font>
    <x:font>
      <x:b/>
      <x:sz val="22"/>
      <x:color rgb="FFFFFFFF"/>
      <x:name val="Arial"/>
    </x:font>
    <x:font>
      <x:i/>
      <x:sz val="10"/>
      <x:color rgb="FF17202A"/>
      <x:name val="Arial"/>
    </x:font>
    <x:font>
      <x:sz val="10"/>
      <x:color rgb="FF172033"/>
      <x:name val="Aptos"/>
    </x:font>
    <x:font>
      <x:b/>
      <x:sz val="30"/>
      <x:color rgb="FF0B1F3A"/>
      <x:name val="Aptos"/>
    </x:font>
    <x:font>
      <x:b/>
      <x:sz val="10"/>
      <x:color rgb="FFFFFFFF"/>
      <x:name val="Aptos"/>
    </x:font>
    <x:font>
      <x:b/>
      <x:sz val="10"/>
      <x:color rgb="FF1F2937"/>
      <x:name val="Aptos"/>
    </x:font>
    <x:font>
      <x:sz val="10"/>
      <x:color rgb="FF1F2937"/>
      <x:name val="Aptos"/>
    </x:font>
    <x:font>
      <x:i/>
      <x:sz val="10"/>
      <x:color rgb="FF1F2937"/>
      <x:name val="Aptos"/>
    </x:font>
    <x:font>
      <x:b/>
      <x:sz val="20"/>
      <x:color rgb="FFFFFFFF"/>
      <x:name val="Aptos"/>
    </x:font>
    <x:font>
      <x:b/>
      <x:sz val="14"/>
      <x:color rgb="FFFFFFFF"/>
      <x:name val="Aptos"/>
    </x:font>
    <x:font>
      <x:b/>
      <x:sz val="30"/>
      <x:color rgb="FF9C1C2B"/>
      <x:name val="Aptos"/>
    </x:font>
    <x:font>
      <x:b/>
      <x:sz val="12"/>
      <x:color rgb="FF1F2937"/>
      <x:name val="Aptos"/>
    </x:font>
    <x:font>
      <x:b/>
      <x:sz val="9"/>
      <x:color rgb="FF6B7280"/>
      <x:name val="Aptos"/>
    </x:font>
    <x:font>
      <x:sz val="9"/>
      <x:color rgb="FF6B7280"/>
      <x:name val="Aptos"/>
    </x:font>
    <x:font>
      <x:b/>
      <x:sz val="13"/>
      <x:color rgb="FFFFFFFF"/>
      <x:name val="Aptos"/>
    </x:font>
    <x:font>
      <x:b/>
      <x:i/>
      <x:sz val="13"/>
      <x:color rgb="FFFFFFFF"/>
      <x:name val="Aptos"/>
    </x:font>
    <x:font>
      <x:b/>
      <x:sz val="10"/>
      <x:color rgb="FF7F1D1D"/>
      <x:name val="Aptos"/>
    </x:font>
    <x:font>
      <x:b/>
      <x:sz val="18"/>
      <x:color rgb="FFFFFFFF"/>
      <x:name val="Aptos Display"/>
    </x:font>
    <x:font>
      <x:b/>
      <x:i/>
      <x:sz val="10"/>
      <x:color rgb="FF6B7280"/>
      <x:name val="Aptos"/>
    </x:font>
    <x:font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000000"/>
      <x:name val="Arial"/>
    </x:font>
    <x:font>
      <x:b/>
      <x:sz val="10"/>
      <x:color theme="0"/>
      <x:name val="Aptos"/>
    </x:font>
    <x:font>
      <x:b/>
      <x:sz val="10"/>
      <x:color rgb="FF1F2937"/>
      <x:name val="Aptos"/>
    </x:font>
    <x:font>
      <x:b/>
      <x:sz val="12"/>
      <x:color rgb="FFFFFFFF"/>
      <x:name val="Aptos"/>
    </x:font>
    <x:font>
      <x:b/>
      <x:i/>
      <x:sz val="12"/>
      <x:color rgb="FFFFFFFF"/>
      <x:name val="Aptos"/>
    </x:font>
    <x:font>
      <x:b/>
      <x:sz val="16"/>
      <x:color rgb="FFFFFFFF"/>
      <x:name val="Aptos"/>
    </x:font>
    <x:font>
      <x:b/>
      <x:sz val="20"/>
      <x:color rgb="FFFFFFFF"/>
      <x:name val="Aptos Display"/>
    </x:font>
    <x:font>
      <x:b/>
      <x:i/>
      <x:sz val="10"/>
      <x:color rgb="FF5B6472"/>
      <x:name val="Aptos"/>
    </x:font>
    <x:font>
      <x:i/>
      <x:sz val="10"/>
      <x:color rgb="FF5B6472"/>
      <x:name val="Aptos"/>
    </x:font>
    <x:font>
      <x:b/>
      <x:sz val="11"/>
      <x:color rgb="FFFFFFFF"/>
      <x:name val="Aptos"/>
    </x:font>
    <x:font>
      <x:b/>
      <x:sz val="10"/>
      <x:color rgb="FF172033"/>
      <x:name val="Aptos"/>
    </x:font>
    <x:font>
      <x:sz val="10"/>
      <x:color rgb="FF1F2937"/>
      <x:name val="Aptos"/>
    </x:font>
    <x:font>
      <x:sz val="9"/>
      <x:color rgb="FF666666"/>
      <x:name val="Arial"/>
    </x:font>
    <x:font>
      <x:b/>
      <x:sz val="9"/>
      <x:color rgb="FF0B2A4A"/>
      <x:name val="Arial"/>
    </x:font>
  </x:fonts>
  <x:fills count="37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FFFFF"/>
      </x:patternFill>
    </x:fill>
    <x:fill>
      <x:patternFill patternType="solid">
        <x:fgColor rgb="FFF4F6F8"/>
      </x:patternFill>
    </x:fill>
    <x:fill>
      <x:patternFill patternType="solid">
        <x:fgColor rgb="FF17202A"/>
      </x:patternFill>
    </x:fill>
    <x:fill>
      <x:patternFill patternType="solid">
        <x:fgColor rgb="FFFFF8E1"/>
      </x:patternFill>
    </x:fill>
    <x:fill>
      <x:patternFill patternType="solid">
        <x:fgColor rgb="FFF4F6F8"/>
      </x:patternFill>
    </x:fill>
    <x:fill>
      <x:patternFill patternType="solid">
        <x:fgColor rgb="FFF7F9FB"/>
      </x:patternFill>
    </x:fill>
    <x:fill>
      <x:patternFill patternType="solid">
        <x:fgColor rgb="FF0B1F3A"/>
      </x:patternFill>
    </x:fill>
    <x:fill>
      <x:patternFill patternType="solid">
        <x:fgColor rgb="FF17365D"/>
      </x:patternFill>
    </x:fill>
    <x:fill>
      <x:patternFill patternType="solid">
        <x:fgColor rgb="FF9C1C2B"/>
      </x:patternFill>
    </x:fill>
    <x:fill>
      <x:patternFill patternType="solid">
        <x:fgColor rgb="FFEAF0F8"/>
      </x:patternFill>
    </x:fill>
    <x:fill>
      <x:patternFill patternType="solid">
        <x:fgColor rgb="FFFCE8EA"/>
      </x:patternFill>
    </x:fill>
    <x:fill>
      <x:patternFill patternType="solid">
        <x:fgColor rgb="FFD9A300"/>
      </x:patternFill>
    </x:fill>
    <x:fill>
      <x:patternFill patternType="solid">
        <x:fgColor rgb="FFFFF2CC"/>
      </x:patternFill>
    </x:fill>
    <x:fill>
      <x:patternFill patternType="solid">
        <x:fgColor rgb="FFF9E79F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4CCCC"/>
      </x:patternFill>
    </x:fill>
    <x:fill>
      <x:patternFill patternType="solid">
        <x:fgColor rgb="FFD9EAF7"/>
      </x:patternFill>
    </x:fill>
    <x:fill>
      <x:patternFill patternType="solid">
        <x:fgColor theme="6"/>
      </x:patternFill>
    </x:fill>
    <x:fill>
      <x:patternFill patternType="solid">
        <x:fgColor theme="6" tint="-0.24998"/>
      </x:patternFill>
    </x:fill>
    <x:fill>
      <x:patternFill patternType="solid">
        <x:fgColor theme="5" tint="-0.24998"/>
      </x:patternFill>
    </x:fill>
    <x:fill>
      <x:patternFill patternType="solid">
        <x:fgColor theme="4" tint="-0.24998"/>
      </x:patternFill>
    </x:fill>
    <x:fill>
      <x:patternFill patternType="solid">
        <x:fgColor theme="5" tint="0.79992"/>
      </x:patternFill>
    </x:fill>
    <x:fill>
      <x:patternFill patternType="solid">
        <x:fgColor theme="4" tint="0.79992"/>
      </x:patternFill>
    </x:fill>
    <x:fill>
      <x:patternFill patternType="solid">
        <x:fgColor theme="6" tint="0.79992"/>
      </x:patternFill>
    </x:fill>
    <x:fill>
      <x:patternFill patternType="solid">
        <x:fgColor rgb="FF13233A"/>
      </x:patternFill>
    </x:fill>
    <x:fill>
      <x:patternFill patternType="solid">
        <x:fgColor rgb="FFE9EDF2"/>
      </x:patternFill>
    </x:fill>
    <x:fill>
      <x:patternFill patternType="solid">
        <x:fgColor rgb="FFFFFFFF"/>
      </x:patternFill>
    </x:fill>
    <x:fill>
      <x:patternFill patternType="solid">
        <x:fgColor theme="5" tint="-0.24998"/>
      </x:patternFill>
    </x:fill>
    <x:fill>
      <x:patternFill patternType="solid">
        <x:fgColor theme="6" tint="0.79995"/>
      </x:patternFill>
    </x:fill>
    <x:fill>
      <x:patternFill patternType="solid">
        <x:fgColor rgb="FF1F2937"/>
      </x:patternFill>
    </x:fill>
    <x:fill>
      <x:patternFill patternType="solid">
        <x:fgColor rgb="FF0B2A4A"/>
      </x:patternFill>
    </x:fill>
    <x:fill>
      <x:patternFill patternType="solid">
        <x:fgColor rgb="FF0B2A4A"/>
      </x:patternFill>
    </x:fill>
    <x:fill>
      <x:patternFill patternType="solid">
        <x:fgColor rgb="FFE8EDF3"/>
      </x:patternFill>
    </x:fill>
  </x:fills>
  <x:borders count="29">
    <x:border/>
    <x:border>
      <x:left style="thin">
        <x:color rgb="FF000000"/>
      </x:left>
    </x:border>
    <x:border>
      <x:right style="thin">
        <x:color rgb="FF000000"/>
      </x:right>
    </x:border>
    <x:border/>
    <x:border>
      <x:bottom style="hair">
        <x:color rgb="FFD1D5DB"/>
      </x:bottom>
    </x:border>
    <x:border>
      <x:bottom style="thin">
        <x:color rgb="FF464646"/>
      </x:bottom>
    </x:border>
    <x:border>
      <x:bottom style="medium">
        <x:color rgb="FF464646"/>
      </x:bottom>
    </x:border>
    <x:border>
      <x:left style="thin">
        <x:color indexed="64"/>
      </x:left>
      <x:top style="medium">
        <x:color rgb="FF464646"/>
      </x:top>
    </x:border>
    <x:border>
      <x:left style="thin">
        <x:color indexed="64"/>
      </x:left>
    </x:border>
    <x:border>
      <x:left style="thin">
        <x:color indexed="64"/>
      </x:left>
      <x:bottom style="thin">
        <x:color rgb="FF464646"/>
      </x:bottom>
    </x:border>
    <x:border>
      <x:left style="thin">
        <x:color indexed="64"/>
      </x:left>
      <x:bottom style="medium">
        <x:color rgb="FF464646"/>
      </x:bottom>
    </x:border>
    <x:border>
      <x:bottom style="hair">
        <x:color indexed="64"/>
      </x:bottom>
    </x:border>
    <x:border>
      <x:top style="hair">
        <x:color indexed="64"/>
      </x:top>
      <x:bottom style="hair">
        <x:color indexed="64"/>
      </x:bottom>
    </x:border>
    <x:border>
      <x:bottom style="medium">
        <x:color rgb="FF464646"/>
      </x:bottom>
    </x:border>
    <x:border/>
    <x:border/>
    <x:border/>
    <x:border/>
    <x:border>
      <x:bottom style="hair">
        <x:color rgb="FFD1D5DB"/>
      </x:bottom>
    </x:border>
    <x:border>
      <x:bottom style="thin">
        <x:color rgb="FF464646"/>
      </x:bottom>
    </x:border>
    <x:border>
      <x:bottom style="medium">
        <x:color rgb="FF464646"/>
      </x:bottom>
    </x:border>
    <x:border>
      <x:left style="thin">
        <x:color indexed="64"/>
      </x:left>
      <x:top style="medium">
        <x:color rgb="FF464646"/>
      </x:top>
    </x:border>
    <x:border>
      <x:left style="thin">
        <x:color indexed="64"/>
      </x:left>
    </x:border>
    <x:border>
      <x:left style="thin">
        <x:color indexed="64"/>
      </x:left>
      <x:bottom style="thin">
        <x:color rgb="FF464646"/>
      </x:bottom>
    </x:border>
    <x:border>
      <x:left style="thin">
        <x:color indexed="64"/>
      </x:left>
      <x:bottom style="medium">
        <x:color rgb="FF464646"/>
      </x:bottom>
    </x:border>
    <x:border>
      <x:bottom style="hair">
        <x:color indexed="64"/>
      </x:bottom>
    </x:border>
    <x:border>
      <x:top style="hair">
        <x:color indexed="64"/>
      </x:top>
      <x:bottom style="hair">
        <x:color indexed="64"/>
      </x:bottom>
    </x:border>
    <x:border>
      <x:left style="thin">
        <x:color rgb="FF000000"/>
      </x:left>
    </x:border>
    <x:border>
      <x:right style="thin">
        <x:color rgb="FF000000"/>
      </x:right>
    </x:border>
  </x:borders>
  <x:cellStyleXfs count="1">
    <x:xf numFmtId="0" fontId="0" fillId="0" borderId="0"/>
  </x:cellStyleXfs>
  <x:cellXfs count="366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3" borderId="0" xfId="0" applyFill="1"/>
    <x:xf numFmtId="165" fontId="0" fillId="3" borderId="0" xfId="0" applyNumberFormat="1" applyFill="1"/>
    <x:xf numFmtId="0" fontId="2" fillId="5" borderId="0" xfId="0" applyFont="1" applyFill="1" applyAlignment="1">
      <x:alignment horizontal="center" wrapText="1"/>
    </x:xf>
    <x:xf numFmtId="0" fontId="5" fillId="7" borderId="0" xfId="0" applyFont="1" applyFill="1" applyAlignment="1">
      <x:alignment vertical="center"/>
    </x:xf>
    <x:xf numFmtId="0" fontId="5" fillId="8" borderId="0" xfId="0" applyFont="1" applyFill="1" applyAlignment="1">
      <x:alignment vertical="center"/>
    </x:xf>
    <x:xf numFmtId="166" fontId="5" fillId="8" borderId="0" xfId="0" applyNumberFormat="1" applyFont="1" applyFill="1" applyAlignment="1">
      <x:alignment vertical="center"/>
    </x:xf>
    <x:xf numFmtId="0" fontId="5" fillId="3" borderId="0" xfId="0" applyFont="1" applyFill="1" applyAlignment="1">
      <x:alignment vertical="center"/>
    </x:xf>
    <x:xf numFmtId="166" fontId="5" fillId="3" borderId="0" xfId="0" applyNumberFormat="1" applyFont="1" applyFill="1" applyAlignment="1">
      <x:alignment vertical="center"/>
    </x:xf>
    <x:xf numFmtId="0" fontId="9" fillId="4" borderId="0" xfId="0" applyFont="1" applyFill="1" applyAlignment="1">
      <x:alignment vertical="center"/>
    </x:xf>
    <x:xf numFmtId="0" fontId="9" fillId="0" borderId="0" xfId="0" applyFont="1" applyAlignment="1">
      <x:alignment vertical="center"/>
    </x:xf>
    <x:xf numFmtId="0" fontId="7" fillId="10" borderId="0" xfId="0" applyFont="1" applyFill="1" applyAlignment="1">
      <x:alignment horizontal="center" vertical="center"/>
    </x:xf>
    <x:xf numFmtId="0" fontId="15" fillId="17" borderId="0" xfId="0" applyFont="1" applyFill="1" applyAlignment="1">
      <x:alignment horizontal="center" vertical="center"/>
    </x:xf>
    <x:xf numFmtId="0" fontId="16" fillId="17" borderId="0" xfId="0" applyFont="1" applyFill="1" applyAlignment="1">
      <x:alignment horizontal="center" vertical="center"/>
    </x:xf>
    <x:xf numFmtId="166" fontId="15" fillId="17" borderId="0" xfId="0" applyNumberFormat="1" applyFont="1" applyFill="1" applyAlignment="1">
      <x:alignment horizontal="center" vertical="center"/>
    </x:xf>
    <x:xf numFmtId="166" fontId="16" fillId="17" borderId="0" xfId="0" applyNumberFormat="1" applyFont="1" applyFill="1" applyAlignment="1">
      <x:alignment horizontal="center" vertical="center"/>
    </x:xf>
    <x:xf numFmtId="0" fontId="7" fillId="10" borderId="0" xfId="0" applyFont="1" applyFill="1" applyAlignment="1">
      <x:alignment horizontal="center" vertical="center" wrapText="1"/>
    </x:xf>
    <x:xf numFmtId="0" fontId="9" fillId="18" borderId="0" xfId="0" applyFont="1" applyFill="1" applyAlignment="1">
      <x:alignment vertical="center"/>
    </x:xf>
    <x:xf numFmtId="0" fontId="10" fillId="18" borderId="0" xfId="0" applyFont="1" applyFill="1" applyAlignment="1">
      <x:alignment vertical="center"/>
    </x:xf>
    <x:xf numFmtId="0" fontId="9" fillId="18" borderId="0" xfId="0" applyFont="1" applyFill="1" applyAlignment="1">
      <x:alignment horizontal="center" vertical="center"/>
    </x:xf>
    <x:xf numFmtId="0" fontId="8" fillId="18" borderId="0" xfId="0" applyFont="1" applyFill="1" applyAlignment="1">
      <x:alignment horizontal="center" vertical="center"/>
    </x:xf>
    <x:xf numFmtId="0" fontId="8" fillId="18" borderId="0" xfId="0" applyFont="1" applyFill="1" applyAlignment="1">
      <x:alignment vertical="center"/>
    </x:xf>
    <x:xf numFmtId="0" fontId="9" fillId="18" borderId="4" xfId="0" applyFont="1" applyFill="1" applyBorder="1" applyAlignment="1">
      <x:alignment vertical="center"/>
    </x:xf>
    <x:xf numFmtId="166" fontId="9" fillId="18" borderId="0" xfId="0" applyNumberFormat="1" applyFont="1" applyFill="1" applyAlignment="1">
      <x:alignment vertical="center"/>
    </x:xf>
    <x:xf numFmtId="166" fontId="9" fillId="18" borderId="4" xfId="0" applyNumberFormat="1" applyFont="1" applyFill="1" applyBorder="1" applyAlignment="1">
      <x:alignment vertical="center"/>
    </x:xf>
    <x:xf numFmtId="0" fontId="9" fillId="19" borderId="0" xfId="0" applyFont="1" applyFill="1" applyAlignment="1">
      <x:alignment vertical="center"/>
    </x:xf>
    <x:xf numFmtId="166" fontId="7" fillId="10" borderId="0" xfId="0" applyNumberFormat="1" applyFont="1" applyFill="1" applyAlignment="1">
      <x:alignment horizontal="center" vertical="center"/>
    </x:xf>
    <x:xf numFmtId="165" fontId="7" fillId="10" borderId="0" xfId="0" applyNumberFormat="1" applyFont="1" applyFill="1" applyAlignment="1">
      <x:alignment horizontal="center" vertical="center"/>
    </x:xf>
    <x:xf numFmtId="0" fontId="5" fillId="8" borderId="4" xfId="0" applyFont="1" applyFill="1" applyBorder="1" applyAlignment="1">
      <x:alignment vertical="center"/>
    </x:xf>
    <x:xf numFmtId="166" fontId="5" fillId="8" borderId="4" xfId="0" applyNumberFormat="1" applyFont="1" applyFill="1" applyBorder="1" applyAlignment="1">
      <x:alignment vertical="center"/>
    </x:xf>
    <x:xf numFmtId="166" fontId="8" fillId="18" borderId="0" xfId="0" applyNumberFormat="1" applyFont="1" applyFill="1" applyAlignment="1">
      <x:alignment horizontal="center" vertical="center"/>
    </x:xf>
    <x:xf numFmtId="0" fontId="9" fillId="18" borderId="0" xfId="0" applyFont="1" applyFill="1" applyAlignment="1">
      <x:alignment vertical="center" wrapText="1"/>
    </x:xf>
    <x:xf numFmtId="166" fontId="9" fillId="18" borderId="0" xfId="0" applyNumberFormat="1" applyFont="1" applyFill="1" applyAlignment="1">
      <x:alignment horizontal="center" vertical="center"/>
    </x:xf>
    <x:xf numFmtId="165" fontId="9" fillId="18" borderId="0" xfId="0" applyNumberFormat="1" applyFont="1" applyFill="1" applyAlignment="1">
      <x:alignment vertical="center"/>
    </x:xf>
    <x:xf numFmtId="165" fontId="9" fillId="18" borderId="4" xfId="0" applyNumberFormat="1" applyFont="1" applyFill="1" applyBorder="1" applyAlignment="1">
      <x:alignment vertical="center"/>
    </x:xf>
    <x:xf numFmtId="0" fontId="9" fillId="20" borderId="0" xfId="0" applyFont="1" applyFill="1" applyAlignment="1">
      <x:alignment vertical="center"/>
    </x:xf>
    <x:xf numFmtId="0" fontId="9" fillId="20" borderId="4" xfId="0" applyFont="1" applyFill="1" applyBorder="1" applyAlignment="1">
      <x:alignment vertical="center"/>
    </x:xf>
    <x:xf numFmtId="0" fontId="22" fillId="18" borderId="0" xfId="0" applyFont="1" applyFill="1" applyAlignment="1">
      <x:alignment vertical="center"/>
    </x:xf>
    <x:xf numFmtId="0" fontId="22" fillId="18" borderId="0" xfId="0" applyFont="1" applyFill="1" applyAlignment="1">
      <x:alignment horizontal="center" vertical="center"/>
    </x:xf>
    <x:xf numFmtId="0" fontId="23" fillId="18" borderId="0" xfId="0" applyFont="1" applyFill="1" applyAlignment="1">
      <x:alignment horizontal="center" vertical="center"/>
    </x:xf>
    <x:xf numFmtId="0" fontId="23" fillId="18" borderId="5" xfId="0" applyFont="1" applyFill="1" applyBorder="1" applyAlignment="1">
      <x:alignment horizontal="center" vertical="center"/>
    </x:xf>
    <x:xf numFmtId="0" fontId="8" fillId="18" borderId="5" xfId="0" applyFont="1" applyFill="1" applyBorder="1" applyAlignment="1">
      <x:alignment horizontal="center" vertical="center"/>
    </x:xf>
    <x:xf numFmtId="166" fontId="22" fillId="18" borderId="0" xfId="0" applyNumberFormat="1" applyFont="1" applyFill="1" applyAlignment="1">
      <x:alignment horizontal="center" vertical="center"/>
    </x:xf>
    <x:xf numFmtId="0" fontId="22" fillId="18" borderId="5" xfId="0" applyFont="1" applyFill="1" applyBorder="1" applyAlignment="1">
      <x:alignment horizontal="center" vertical="center"/>
    </x:xf>
    <x:xf numFmtId="166" fontId="22" fillId="18" borderId="5" xfId="0" applyNumberFormat="1" applyFont="1" applyFill="1" applyBorder="1" applyAlignment="1">
      <x:alignment horizontal="center" vertical="center"/>
    </x:xf>
    <x:xf numFmtId="166" fontId="22" fillId="18" borderId="0" xfId="0" applyNumberFormat="1" applyFont="1" applyFill="1" applyAlignment="1">
      <x:alignment vertical="center" wrapText="1"/>
    </x:xf>
    <x:xf numFmtId="0" fontId="0" fillId="0" borderId="5" xfId="0" applyBorder="1"/>
    <x:xf numFmtId="0" fontId="8" fillId="18" borderId="6" xfId="0" applyFont="1" applyFill="1" applyBorder="1" applyAlignment="1">
      <x:alignment horizontal="center" vertical="center"/>
    </x:xf>
    <x:xf numFmtId="0" fontId="23" fillId="18" borderId="6" xfId="0" applyFont="1" applyFill="1" applyBorder="1" applyAlignment="1">
      <x:alignment horizontal="center" vertical="center"/>
    </x:xf>
    <x:xf numFmtId="0" fontId="22" fillId="18" borderId="6" xfId="0" applyFont="1" applyFill="1" applyBorder="1" applyAlignment="1">
      <x:alignment vertical="center"/>
    </x:xf>
    <x:xf numFmtId="166" fontId="22" fillId="18" borderId="6" xfId="0" applyNumberFormat="1" applyFont="1" applyFill="1" applyBorder="1" applyAlignment="1">
      <x:alignment vertical="center" wrapText="1"/>
    </x:xf>
    <x:xf numFmtId="166" fontId="22" fillId="18" borderId="6" xfId="0" applyNumberFormat="1" applyFont="1" applyFill="1" applyBorder="1" applyAlignment="1">
      <x:alignment horizontal="center" vertical="center"/>
    </x:xf>
    <x:xf numFmtId="0" fontId="22" fillId="18" borderId="0" xfId="0" applyFont="1" applyFill="1" applyAlignment="1">
      <x:alignment horizontal="center" vertical="center" wrapText="1"/>
    </x:xf>
    <x:xf numFmtId="0" fontId="22" fillId="18" borderId="6" xfId="0" applyFont="1" applyFill="1" applyBorder="1" applyAlignment="1">
      <x:alignment horizontal="center" vertical="center" wrapText="1"/>
    </x:xf>
    <x:xf numFmtId="0" fontId="22" fillId="25" borderId="0" xfId="0" applyFont="1" applyFill="1" applyAlignment="1">
      <x:alignment horizontal="center" vertical="center" wrapText="1"/>
    </x:xf>
    <x:xf numFmtId="0" fontId="22" fillId="26" borderId="0" xfId="0" applyFont="1" applyFill="1" applyAlignment="1">
      <x:alignment horizontal="center" vertical="center" wrapText="1"/>
    </x:xf>
    <x:xf numFmtId="0" fontId="22" fillId="25" borderId="5" xfId="0" applyFont="1" applyFill="1" applyBorder="1" applyAlignment="1">
      <x:alignment horizontal="center" vertical="center" wrapText="1"/>
    </x:xf>
    <x:xf numFmtId="0" fontId="22" fillId="26" borderId="5" xfId="0" applyFont="1" applyFill="1" applyBorder="1" applyAlignment="1">
      <x:alignment horizontal="center" vertical="center" wrapText="1"/>
    </x:xf>
    <x:xf numFmtId="0" fontId="0" fillId="0" borderId="0" xfId="0" applyAlignment="1">
      <x:alignment horizontal="center"/>
    </x:xf>
    <x:xf numFmtId="0" fontId="0" fillId="0" borderId="5" xfId="0" applyBorder="1" applyAlignment="1">
      <x:alignment horizontal="center"/>
    </x:xf>
    <x:xf numFmtId="0" fontId="22" fillId="25" borderId="6" xfId="0" applyFont="1" applyFill="1" applyBorder="1" applyAlignment="1">
      <x:alignment horizontal="center" vertical="center" wrapText="1"/>
    </x:xf>
    <x:xf numFmtId="0" fontId="0" fillId="0" borderId="6" xfId="0" applyBorder="1" applyAlignment="1">
      <x:alignment horizontal="center"/>
    </x:xf>
    <x:xf numFmtId="0" fontId="22" fillId="26" borderId="6" xfId="0" applyFont="1" applyFill="1" applyBorder="1" applyAlignment="1">
      <x:alignment horizontal="center" vertical="center" wrapText="1"/>
    </x:xf>
    <x:xf numFmtId="0" fontId="10" fillId="18" borderId="0" xfId="0" applyFont="1" applyFill="1" applyAlignment="1">
      <x:alignment horizontal="center" vertical="center"/>
    </x:xf>
    <x:xf numFmtId="0" fontId="9" fillId="18" borderId="5" xfId="0" applyFont="1" applyFill="1" applyBorder="1" applyAlignment="1">
      <x:alignment horizontal="center" vertical="center"/>
    </x:xf>
    <x:xf numFmtId="0" fontId="19" fillId="27" borderId="6" xfId="0" applyFont="1" applyFill="1" applyBorder="1" applyAlignment="1">
      <x:alignment horizontal="center" vertical="center"/>
    </x:xf>
    <x:xf numFmtId="0" fontId="25" fillId="23" borderId="6" xfId="0" applyFont="1" applyFill="1" applyBorder="1" applyAlignment="1">
      <x:alignment horizontal="center" vertical="center" wrapText="1"/>
    </x:xf>
    <x:xf numFmtId="0" fontId="25" fillId="24" borderId="6" xfId="0" applyFont="1" applyFill="1" applyBorder="1" applyAlignment="1">
      <x:alignment horizontal="center" vertical="center" wrapText="1"/>
    </x:xf>
    <x:xf numFmtId="166" fontId="19" fillId="27" borderId="6" xfId="0" applyNumberFormat="1" applyFont="1" applyFill="1" applyBorder="1" applyAlignment="1">
      <x:alignment horizontal="center" vertical="center"/>
    </x:xf>
    <x:xf numFmtId="0" fontId="27" fillId="21" borderId="0" xfId="0" applyFont="1" applyFill="1" applyAlignment="1">
      <x:alignment horizontal="center" vertical="center" wrapText="1"/>
    </x:xf>
    <x:xf numFmtId="0" fontId="28" fillId="21" borderId="0" xfId="0" applyFont="1" applyFill="1" applyAlignment="1">
      <x:alignment horizontal="center" vertical="center" wrapText="1"/>
    </x:xf>
    <x:xf numFmtId="166" fontId="27" fillId="21" borderId="0" xfId="0" applyNumberFormat="1" applyFont="1" applyFill="1" applyAlignment="1">
      <x:alignment horizontal="center" vertical="center" wrapText="1"/>
    </x:xf>
    <x:xf numFmtId="0" fontId="26" fillId="0" borderId="7" xfId="0" applyFont="1" applyBorder="1" applyAlignment="1">
      <x:alignment horizontal="center" vertical="center"/>
    </x:xf>
    <x:xf numFmtId="0" fontId="26" fillId="0" borderId="8" xfId="0" applyFont="1" applyBorder="1" applyAlignment="1">
      <x:alignment horizontal="center" vertical="center"/>
    </x:xf>
    <x:xf numFmtId="0" fontId="26" fillId="0" borderId="9" xfId="0" applyFont="1" applyBorder="1" applyAlignment="1">
      <x:alignment horizontal="center" vertical="center"/>
    </x:xf>
    <x:xf numFmtId="0" fontId="26" fillId="0" borderId="10" xfId="0" applyFont="1" applyBorder="1" applyAlignment="1">
      <x:alignment horizontal="center" vertical="center"/>
    </x:xf>
    <x:xf numFmtId="0" fontId="19" fillId="27" borderId="10" xfId="0" applyFont="1" applyFill="1" applyBorder="1" applyAlignment="1">
      <x:alignment horizontal="center" vertical="center"/>
    </x:xf>
    <x:xf numFmtId="0" fontId="27" fillId="21" borderId="8" xfId="0" applyFont="1" applyFill="1" applyBorder="1" applyAlignment="1">
      <x:alignment horizontal="center" vertical="center" wrapText="1"/>
    </x:xf>
    <x:xf numFmtId="0" fontId="24" fillId="0" borderId="8" xfId="0" applyFont="1" applyBorder="1" applyAlignment="1">
      <x:alignment horizontal="center"/>
    </x:xf>
    <x:xf numFmtId="0" fontId="26" fillId="18" borderId="0" xfId="0" applyFont="1" applyFill="1" applyAlignment="1">
      <x:alignment vertical="center"/>
    </x:xf>
    <x:xf numFmtId="0" fontId="8" fillId="18" borderId="11" xfId="0" applyFont="1" applyFill="1" applyBorder="1" applyAlignment="1">
      <x:alignment vertical="center"/>
    </x:xf>
    <x:xf numFmtId="166" fontId="8" fillId="18" borderId="11" xfId="0" applyNumberFormat="1" applyFont="1" applyFill="1" applyBorder="1" applyAlignment="1">
      <x:alignment vertical="center"/>
    </x:xf>
    <x:xf numFmtId="0" fontId="8" fillId="18" borderId="11" xfId="0" applyFont="1" applyFill="1" applyBorder="1" applyAlignment="1">
      <x:alignment horizontal="center" vertical="center"/>
    </x:xf>
    <x:xf numFmtId="0" fontId="23" fillId="18" borderId="11" xfId="0" applyFont="1" applyFill="1" applyBorder="1" applyAlignment="1">
      <x:alignment horizontal="center" vertical="center"/>
    </x:xf>
    <x:xf numFmtId="0" fontId="26" fillId="0" borderId="3" xfId="0" applyFont="1" applyBorder="1" applyAlignment="1">
      <x:alignment horizontal="center" vertical="center"/>
    </x:xf>
    <x:xf numFmtId="0" fontId="26" fillId="0" borderId="11" xfId="0" applyFont="1" applyBorder="1" applyAlignment="1">
      <x:alignment horizontal="center" vertical="center"/>
    </x:xf>
    <x:xf numFmtId="0" fontId="26" fillId="0" borderId="12" xfId="0" applyFont="1" applyBorder="1" applyAlignment="1">
      <x:alignment horizontal="center" vertical="center"/>
    </x:xf>
    <x:xf numFmtId="0" fontId="7" fillId="10" borderId="6" xfId="0" applyFont="1" applyFill="1" applyBorder="1" applyAlignment="1">
      <x:alignment horizontal="left" vertical="center"/>
    </x:xf>
    <x:xf numFmtId="0" fontId="7" fillId="10" borderId="6" xfId="0" applyFont="1" applyFill="1" applyBorder="1" applyAlignment="1">
      <x:alignment horizontal="center" vertical="center"/>
    </x:xf>
    <x:xf numFmtId="0" fontId="7" fillId="10" borderId="6" xfId="0" applyFont="1" applyFill="1" applyBorder="1" applyAlignment="1">
      <x:alignment horizontal="center" vertical="center" wrapText="1"/>
    </x:xf>
    <x:xf numFmtId="0" fontId="7" fillId="11" borderId="6" xfId="0" applyFont="1" applyFill="1" applyBorder="1" applyAlignment="1">
      <x:alignment horizontal="center" vertical="center"/>
    </x:xf>
    <x:xf numFmtId="166" fontId="26" fillId="18" borderId="0" xfId="0" applyNumberFormat="1" applyFont="1" applyFill="1" applyAlignment="1">
      <x:alignment vertical="center"/>
    </x:xf>
    <x:xf numFmtId="0" fontId="8" fillId="2" borderId="0" xfId="0" applyFont="1" applyFill="1" applyAlignment="1">
      <x:alignment horizontal="center" vertical="center"/>
    </x:xf>
    <x:xf numFmtId="0" fontId="8" fillId="0" borderId="0" xfId="0" applyFont="1" applyAlignment="1">
      <x:alignment horizontal="left" vertical="center"/>
    </x:xf>
    <x:xf numFmtId="0" fontId="8" fillId="0" borderId="0" xfId="0" applyFont="1" applyAlignment="1">
      <x:alignment vertical="center"/>
    </x:xf>
    <x:xf numFmtId="0" fontId="9" fillId="3" borderId="0" xfId="0" applyFont="1" applyFill="1" applyAlignment="1">
      <x:alignment vertical="center"/>
    </x:xf>
    <x:xf numFmtId="0" fontId="8" fillId="3" borderId="0" xfId="0" applyFont="1" applyFill="1" applyAlignment="1">
      <x:alignment horizontal="left" vertical="center"/>
    </x:xf>
    <x:xf numFmtId="0" fontId="32" fillId="29" borderId="1" xfId="0" applyFont="1" applyFill="1" applyBorder="1" applyAlignment="1">
      <x:alignment vertical="center"/>
    </x:xf>
    <x:xf numFmtId="0" fontId="32" fillId="29" borderId="0" xfId="0" applyFont="1" applyFill="1" applyAlignment="1">
      <x:alignment vertical="center"/>
    </x:xf>
    <x:xf numFmtId="0" fontId="32" fillId="29" borderId="2" xfId="0" applyFont="1" applyFill="1" applyBorder="1" applyAlignment="1">
      <x:alignment vertical="center"/>
    </x:xf>
    <x:xf numFmtId="0" fontId="9" fillId="0" borderId="0" xfId="0" applyFont="1" applyAlignment="1">
      <x:alignment horizontal="center" vertical="center"/>
    </x:xf>
    <x:xf numFmtId="0" fontId="9" fillId="0" borderId="0" xfId="0" applyFont="1" applyAlignment="1">
      <x:alignment horizontal="left" vertical="center"/>
    </x:xf>
    <x:xf numFmtId="0" fontId="9" fillId="0" borderId="0" xfId="0" applyFont="1" applyAlignment="1">
      <x:alignment horizontal="left" vertical="center" wrapText="1"/>
    </x:xf>
    <x:xf numFmtId="0" fontId="35" fillId="30" borderId="0" xfId="0" applyFont="1" applyFill="1" applyAlignment="1">
      <x:alignment horizontal="center" vertical="center"/>
    </x:xf>
    <x:xf numFmtId="0" fontId="35" fillId="30" borderId="0" xfId="0" applyFont="1" applyFill="1" applyAlignment="1">
      <x:alignment vertical="center"/>
    </x:xf>
    <x:xf numFmtId="0" fontId="35" fillId="3" borderId="15" xfId="0" applyFont="1" applyFill="1" applyBorder="1" applyAlignment="1">
      <x:alignment horizontal="center" vertical="center"/>
    </x:xf>
    <x:xf numFmtId="166" fontId="35" fillId="3" borderId="15" xfId="0" applyNumberFormat="1" applyFont="1" applyFill="1" applyBorder="1" applyAlignment="1">
      <x:alignment horizontal="center" vertical="center"/>
    </x:xf>
    <x:xf numFmtId="0" fontId="35" fillId="0" borderId="14" xfId="0" applyFont="1" applyBorder="1" applyAlignment="1">
      <x:alignment horizontal="left" vertical="center"/>
    </x:xf>
    <x:xf numFmtId="0" fontId="35" fillId="0" borderId="14" xfId="0" applyFont="1" applyBorder="1" applyAlignment="1">
      <x:alignment horizontal="center" vertical="center"/>
    </x:xf>
    <x:xf numFmtId="0" fontId="35" fillId="0" borderId="15" xfId="0" applyFont="1" applyBorder="1" applyAlignment="1">
      <x:alignment horizontal="left" vertical="center"/>
    </x:xf>
    <x:xf numFmtId="0" fontId="35" fillId="0" borderId="15" xfId="0" applyFont="1" applyBorder="1" applyAlignment="1">
      <x:alignment horizontal="center" vertical="center"/>
    </x:xf>
    <x:xf numFmtId="165" fontId="35" fillId="0" borderId="15" xfId="0" applyNumberFormat="1" applyFont="1" applyBorder="1" applyAlignment="1">
      <x:alignment horizontal="center" vertical="center"/>
    </x:xf>
    <x:xf numFmtId="0" fontId="35" fillId="3" borderId="0" xfId="0" applyFont="1" applyFill="1" applyAlignment="1">
      <x:alignment horizontal="center" vertical="center" wrapText="1"/>
    </x:xf>
    <x:xf numFmtId="0" fontId="35" fillId="3" borderId="0" xfId="0" applyFont="1" applyFill="1" applyAlignment="1">
      <x:alignment horizontal="left" vertical="center" wrapText="1"/>
    </x:xf>
    <x:xf numFmtId="0" fontId="35" fillId="0" borderId="0" xfId="0" applyFont="1" applyAlignment="1">
      <x:alignment horizontal="center" vertical="center"/>
    </x:xf>
    <x:xf numFmtId="0" fontId="35" fillId="0" borderId="0" xfId="0" applyFont="1" applyAlignment="1">
      <x:alignment horizontal="left" vertical="center" wrapText="1"/>
    </x:xf>
    <x:xf numFmtId="0" fontId="35" fillId="0" borderId="0" xfId="0" applyFont="1" applyAlignment="1">
      <x:alignment horizontal="left" vertical="center"/>
    </x:xf>
    <x:xf numFmtId="0" fontId="35" fillId="0" borderId="14" xfId="0" applyFont="1" applyBorder="1" applyAlignment="1">
      <x:alignment horizontal="left" vertical="center" wrapText="1"/>
    </x:xf>
    <x:xf numFmtId="0" fontId="31" fillId="29" borderId="0" xfId="0" applyFont="1" applyFill="1" applyAlignment="1">
      <x:alignment vertical="center"/>
    </x:xf>
    <x:xf numFmtId="164" fontId="35" fillId="30" borderId="0" xfId="0" applyNumberFormat="1" applyFont="1" applyFill="1" applyAlignment="1">
      <x:alignment vertical="center"/>
    </x:xf>
    <x:xf numFmtId="0" fontId="33" fillId="28" borderId="1" xfId="0" applyFont="1" applyFill="1" applyBorder="1" applyAlignment="1">
      <x:alignment vertical="center"/>
    </x:xf>
    <x:xf numFmtId="0" fontId="33" fillId="28" borderId="0" xfId="0" applyFont="1" applyFill="1" applyAlignment="1">
      <x:alignment vertical="center"/>
    </x:xf>
    <x:xf numFmtId="0" fontId="33" fillId="28" borderId="2" xfId="0" applyFont="1" applyFill="1" applyBorder="1" applyAlignment="1">
      <x:alignment vertical="center"/>
    </x:xf>
    <x:xf numFmtId="0" fontId="35" fillId="31" borderId="0" xfId="0" applyFont="1" applyFill="1" applyAlignment="1">
      <x:alignment horizontal="center" vertical="center" wrapText="1"/>
    </x:xf>
    <x:xf numFmtId="0" fontId="35" fillId="31" borderId="0" xfId="0" applyFont="1" applyFill="1" applyAlignment="1">
      <x:alignment horizontal="left" vertical="center" wrapText="1"/>
    </x:xf>
    <x:xf numFmtId="0" fontId="35" fillId="31" borderId="0" xfId="0" applyFont="1" applyFill="1" applyAlignment="1">
      <x:alignment horizontal="center" vertical="center"/>
    </x:xf>
    <x:xf numFmtId="0" fontId="35" fillId="31" borderId="0" xfId="0" applyFont="1" applyFill="1" applyAlignment="1">
      <x:alignment horizontal="left" vertical="center"/>
    </x:xf>
    <x:xf numFmtId="0" fontId="34" fillId="32" borderId="13" xfId="0" applyFont="1" applyFill="1" applyBorder="1" applyAlignment="1">
      <x:alignment horizontal="center" wrapText="1"/>
    </x:xf>
    <x:xf numFmtId="1" fontId="35" fillId="31" borderId="15" xfId="0" applyNumberFormat="1" applyFont="1" applyFill="1" applyBorder="1" applyAlignment="1">
      <x:alignment horizontal="center" vertical="center" wrapText="1"/>
    </x:xf>
    <x:xf numFmtId="1" fontId="35" fillId="3" borderId="15" xfId="0" applyNumberFormat="1" applyFont="1" applyFill="1" applyBorder="1" applyAlignment="1">
      <x:alignment horizontal="center" vertical="center" wrapText="1"/>
    </x:xf>
    <x:xf numFmtId="1" fontId="35" fillId="31" borderId="15" xfId="0" applyNumberFormat="1" applyFont="1" applyFill="1" applyBorder="1" applyAlignment="1">
      <x:alignment horizontal="center" vertical="center"/>
    </x:xf>
    <x:xf numFmtId="1" fontId="35" fillId="0" borderId="15" xfId="0" applyNumberFormat="1" applyFont="1" applyBorder="1" applyAlignment="1">
      <x:alignment horizontal="center" vertical="center"/>
    </x:xf>
    <x:xf numFmtId="0" fontId="33" fillId="28" borderId="15" xfId="0" applyFont="1" applyFill="1" applyBorder="1" applyAlignment="1">
      <x:alignment vertical="center"/>
    </x:xf>
    <x:xf numFmtId="165" fontId="34" fillId="32" borderId="13" xfId="0" applyNumberFormat="1" applyFont="1" applyFill="1" applyBorder="1" applyAlignment="1">
      <x:alignment horizontal="center" wrapText="1"/>
    </x:xf>
    <x:xf numFmtId="0" fontId="35" fillId="3" borderId="15" xfId="0" applyFont="1" applyFill="1" applyBorder="1" applyAlignment="1">
      <x:alignment horizontal="left" vertical="center"/>
    </x:xf>
    <x:xf numFmtId="165" fontId="35" fillId="3" borderId="15" xfId="0" applyNumberFormat="1" applyFont="1" applyFill="1" applyBorder="1" applyAlignment="1">
      <x:alignment horizontal="center" vertical="center"/>
    </x:xf>
    <x:xf numFmtId="0" fontId="30" fillId="28" borderId="0" xfId="0" applyFont="1" applyFill="1" applyAlignment="1">
      <x:alignment horizontal="centerContinuous" vertical="center"/>
    </x:xf>
    <x:xf numFmtId="0" fontId="31" fillId="0" borderId="0" xfId="0" applyFont="1" applyAlignment="1">
      <x:alignment horizontal="centerContinuous" vertical="center"/>
    </x:xf>
    <x:xf numFmtId="1" fontId="9" fillId="0" borderId="0" xfId="0" applyNumberFormat="1" applyFont="1" applyAlignment="1">
      <x:alignment horizontal="center" vertical="center"/>
    </x:xf>
    <x:xf numFmtId="0" fontId="0" fillId="0" borderId="0" xfId="0" applyAlignment="1">
      <x:alignment horizontal="centerContinuous"/>
    </x:xf>
    <x:xf numFmtId="0" fontId="9" fillId="31" borderId="0" xfId="0" applyFont="1" applyFill="1" applyAlignment="1">
      <x:alignment horizontal="left" vertical="center" wrapText="1"/>
    </x:xf>
    <x:xf numFmtId="0" fontId="9" fillId="31" borderId="0" xfId="0" applyFont="1" applyFill="1" applyAlignment="1">
      <x:alignment horizontal="left" vertical="center"/>
    </x:xf>
    <x:xf numFmtId="0" fontId="9" fillId="31" borderId="0" xfId="0" applyFont="1" applyFill="1" applyAlignment="1">
      <x:alignment horizontal="center" vertical="center" wrapText="1"/>
    </x:xf>
    <x:xf numFmtId="0" fontId="9" fillId="31" borderId="0" xfId="0" applyFont="1" applyFill="1" applyAlignment="1">
      <x:alignment horizontal="center" vertical="center"/>
    </x:xf>
    <x:xf numFmtId="0" fontId="2" fillId="33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1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0" fontId="0" fillId="0" borderId="16" xfId="0" applyBorder="1" applyAlignment="1">
      <x:alignment vertical="top" wrapText="1"/>
    </x:xf>
    <x:xf numFmtId="1" fontId="0" fillId="0" borderId="0" xfId="0" applyNumberFormat="1" applyAlignment="1">
      <x:alignment vertical="top" wrapText="1"/>
    </x:xf>
    <x:xf numFmtId="1" fontId="0" fillId="0" borderId="16" xfId="0" applyNumberFormat="1" applyBorder="1" applyAlignment="1">
      <x:alignment vertical="top" wrapText="1"/>
    </x:xf>
    <x:xf numFmtId="165" fontId="0" fillId="0" borderId="0" xfId="0" applyNumberFormat="1" applyAlignment="1">
      <x:alignment vertical="top" wrapText="1"/>
    </x:xf>
    <x:xf numFmtId="165" fontId="0" fillId="0" borderId="16" xfId="0" applyNumberFormat="1" applyBorder="1" applyAlignment="1">
      <x:alignment vertical="top" wrapText="1"/>
    </x:xf>
    <x:xf numFmtId="0" fontId="2" fillId="34" borderId="0" xfId="0" applyFont="1" applyFill="1" applyAlignment="1">
      <x:alignment horizontal="center" vertical="center" wrapText="1"/>
    </x:xf>
    <x:xf numFmtId="167" fontId="0" fillId="0" borderId="0" xfId="0" applyNumberFormat="1" applyAlignment="1">
      <x:alignment wrapText="1"/>
    </x:xf>
    <x:xf numFmtId="166" fontId="0" fillId="0" borderId="0" xfId="0" applyNumberFormat="1" applyAlignment="1">
      <x:alignment wrapText="1"/>
    </x:xf>
    <x:xf numFmtId="0" fontId="0" fillId="0" borderId="0" xfId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0" xfId="0" applyFont="1" applyFill="1" applyAlignment="1">
      <x:alignment vertical="center" wrapText="1"/>
    </x:xf>
    <x:xf numFmtId="0" fontId="5" fillId="3" borderId="0" xfId="0" applyFont="1" applyFill="1" applyAlignment="1">
      <x:alignment vertical="center" wrapText="1"/>
    </x:xf>
    <x:xf numFmtId="166" fontId="5" fillId="3" borderId="0" xfId="0" applyNumberFormat="1" applyFont="1" applyFill="1" applyAlignment="1">
      <x:alignment vertical="center" wrapText="1"/>
    </x:xf>
    <x:xf numFmtId="0" fontId="5" fillId="8" borderId="0" xfId="0" applyFont="1" applyFill="1" applyAlignment="1">
      <x:alignment vertical="center" wrapText="1"/>
    </x:xf>
    <x:xf numFmtId="166" fontId="5" fillId="8" borderId="0" xfId="0" applyNumberFormat="1" applyFont="1" applyFill="1" applyAlignment="1">
      <x:alignment vertical="center" wrapText="1"/>
    </x:xf>
    <x:xf numFmtId="0" fontId="17" fillId="9" borderId="0" xfId="0" applyFont="1" applyFill="1" applyAlignment="1">
      <x:alignment horizontal="left" vertical="center" wrapText="1"/>
    </x:xf>
    <x:xf numFmtId="0" fontId="17" fillId="22" borderId="0" xfId="0" applyFont="1" applyFill="1" applyAlignment="1">
      <x:alignment horizontal="left" vertical="center"/>
    </x:xf>
    <x:xf numFmtId="0" fontId="18" fillId="22" borderId="0" xfId="0" applyFont="1" applyFill="1" applyAlignment="1">
      <x:alignment horizontal="left" vertical="center"/>
    </x:xf>
    <x:xf numFmtId="166" fontId="17" fillId="22" borderId="0" xfId="0" applyNumberFormat="1" applyFont="1" applyFill="1" applyAlignment="1">
      <x:alignment horizontal="left" vertical="center"/>
    </x:xf>
    <x:xf numFmtId="0" fontId="17" fillId="9" borderId="0" xfId="0" applyFont="1" applyFill="1" applyAlignment="1">
      <x:alignment vertical="center"/>
    </x:xf>
    <x:xf numFmtId="166" fontId="17" fillId="9" borderId="0" xfId="0" applyNumberFormat="1" applyFont="1" applyFill="1" applyAlignment="1">
      <x:alignment vertical="center"/>
    </x:xf>
    <x:xf numFmtId="165" fontId="17" fillId="9" borderId="0" xfId="0" applyNumberFormat="1" applyFont="1" applyFill="1" applyAlignment="1">
      <x:alignment vertical="center"/>
    </x:xf>
    <x:xf numFmtId="0" fontId="9" fillId="15" borderId="0" xfId="0" applyFont="1" applyFill="1" applyAlignment="1">
      <x:alignment vertical="top" wrapText="1"/>
    </x:xf>
    <x:xf numFmtId="0" fontId="11" fillId="9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11" borderId="0" xfId="0" applyFont="1" applyFill="1" applyAlignment="1">
      <x:alignment horizontal="center" vertical="center"/>
    </x:xf>
    <x:xf numFmtId="0" fontId="6" fillId="12" borderId="0" xfId="0" applyFont="1" applyFill="1" applyAlignment="1">
      <x:alignment horizontal="center" vertical="center"/>
    </x:xf>
    <x:xf numFmtId="0" fontId="13" fillId="13" borderId="0" xfId="0" applyFont="1" applyFill="1" applyAlignment="1">
      <x:alignment horizontal="center" vertical="center"/>
    </x:xf>
    <x:xf numFmtId="0" fontId="29" fillId="14" borderId="0" xfId="0" applyFont="1" applyFill="1" applyAlignment="1">
      <x:alignment horizontal="center" vertical="center"/>
    </x:xf>
    <x:xf numFmtId="0" fontId="14" fillId="15" borderId="0" xfId="0" applyFont="1" applyFill="1" applyAlignment="1">
      <x:alignment horizontal="center" vertical="center" wrapText="1"/>
    </x:xf>
    <x:xf numFmtId="0" fontId="8" fillId="16" borderId="0" xfId="0" applyFont="1" applyFill="1" applyAlignment="1">
      <x:alignment horizontal="center" vertical="center"/>
    </x:xf>
    <x:xf numFmtId="0" fontId="33" fillId="28" borderId="0" xfId="0" applyFont="1" applyFill="1" applyAlignment="1">
      <x:alignment horizontal="left" vertical="center"/>
    </x:xf>
    <x:xf numFmtId="0" fontId="3" fillId="2" borderId="0" xfId="0" applyFont="1" applyFill="1" applyAlignment="1">
      <x:alignment horizontal="center" vertical="center"/>
    </x:xf>
    <x:xf numFmtId="0" fontId="4" fillId="6" borderId="0" xfId="0" applyFont="1" applyFill="1" applyAlignment="1">
      <x:alignment horizontal="center"/>
    </x:xf>
    <x:xf numFmtId="0" fontId="20" fillId="34" borderId="0" xfId="0" applyFont="1" applyFill="1" applyAlignment="1">
      <x:alignment horizontal="center" vertical="center" wrapText="1"/>
    </x:xf>
    <x:xf numFmtId="0" fontId="20" fillId="2" borderId="0" xfId="0" applyFont="1" applyFill="1" applyAlignment="1">
      <x:alignment horizontal="center" vertical="center" wrapText="1"/>
    </x:xf>
    <x:xf numFmtId="0" fontId="21" fillId="17" borderId="0" xfId="0" applyFont="1" applyFill="1" applyAlignment="1">
      <x:alignment horizontal="center" vertical="center" wrapText="1"/>
    </x:xf>
    <x:xf numFmtId="0" fontId="0" fillId="0" borderId="17" xfId="0" applyNumberFormat="1" applyFont="1" applyFill="1" applyBorder="1"/>
    <x:xf numFmtId="0" fontId="1" fillId="0" borderId="17" xfId="0" applyNumberFormat="1" applyFont="1" applyFill="1" applyBorder="1" applyAlignment="1">
      <x:alignment horizontal="center" vertical="center"/>
    </x:xf>
    <x:xf numFmtId="0" fontId="0" fillId="3" borderId="17" xfId="0" applyNumberFormat="1" applyFont="1" applyFill="1" applyBorder="1"/>
    <x:xf numFmtId="165" fontId="0" fillId="3" borderId="17" xfId="0" applyNumberFormat="1" applyFont="1" applyFill="1" applyBorder="1"/>
    <x:xf numFmtId="0" fontId="2" fillId="5" borderId="17" xfId="0" applyNumberFormat="1" applyFont="1" applyFill="1" applyBorder="1" applyAlignment="1">
      <x:alignment horizontal="center" wrapText="1"/>
    </x:xf>
    <x:xf numFmtId="0" fontId="5" fillId="4" borderId="17" xfId="0" applyNumberFormat="1" applyFont="1" applyFill="1" applyBorder="1" applyAlignment="1">
      <x:alignment vertical="center"/>
    </x:xf>
    <x:xf numFmtId="0" fontId="5" fillId="8" borderId="17" xfId="0" applyNumberFormat="1" applyFont="1" applyFill="1" applyBorder="1" applyAlignment="1">
      <x:alignment vertical="center"/>
    </x:xf>
    <x:xf numFmtId="166" fontId="5" fillId="8" borderId="17" xfId="0" applyNumberFormat="1" applyFont="1" applyFill="1" applyBorder="1" applyAlignment="1">
      <x:alignment vertical="center"/>
    </x:xf>
    <x:xf numFmtId="0" fontId="5" fillId="3" borderId="17" xfId="0" applyNumberFormat="1" applyFont="1" applyFill="1" applyBorder="1" applyAlignment="1">
      <x:alignment vertical="center"/>
    </x:xf>
    <x:xf numFmtId="166" fontId="5" fillId="3" borderId="17" xfId="0" applyNumberFormat="1" applyFont="1" applyFill="1" applyBorder="1" applyAlignment="1">
      <x:alignment vertical="center"/>
    </x:xf>
    <x:xf numFmtId="0" fontId="9" fillId="4" borderId="17" xfId="0" applyNumberFormat="1" applyFont="1" applyFill="1" applyBorder="1" applyAlignment="1">
      <x:alignment vertical="center"/>
    </x:xf>
    <x:xf numFmtId="0" fontId="9" fillId="0" borderId="17" xfId="0" applyNumberFormat="1" applyFont="1" applyFill="1" applyBorder="1" applyAlignment="1">
      <x:alignment vertical="center"/>
    </x:xf>
    <x:xf numFmtId="0" fontId="7" fillId="10" borderId="17" xfId="0" applyNumberFormat="1" applyFont="1" applyFill="1" applyBorder="1" applyAlignment="1">
      <x:alignment horizontal="center" vertical="center"/>
    </x:xf>
    <x:xf numFmtId="0" fontId="15" fillId="17" borderId="17" xfId="0" applyNumberFormat="1" applyFont="1" applyFill="1" applyBorder="1" applyAlignment="1">
      <x:alignment horizontal="center" vertical="center"/>
    </x:xf>
    <x:xf numFmtId="0" fontId="16" fillId="17" borderId="17" xfId="0" applyNumberFormat="1" applyFont="1" applyFill="1" applyBorder="1" applyAlignment="1">
      <x:alignment horizontal="center" vertical="center"/>
    </x:xf>
    <x:xf numFmtId="166" fontId="15" fillId="17" borderId="17" xfId="0" applyNumberFormat="1" applyFont="1" applyFill="1" applyBorder="1" applyAlignment="1">
      <x:alignment horizontal="center" vertical="center"/>
    </x:xf>
    <x:xf numFmtId="166" fontId="16" fillId="17" borderId="17" xfId="0" applyNumberFormat="1" applyFont="1" applyFill="1" applyBorder="1" applyAlignment="1">
      <x:alignment horizontal="center" vertical="center"/>
    </x:xf>
    <x:xf numFmtId="0" fontId="7" fillId="10" borderId="17" xfId="0" applyNumberFormat="1" applyFont="1" applyFill="1" applyBorder="1" applyAlignment="1">
      <x:alignment horizontal="center" vertical="center" wrapText="1"/>
    </x:xf>
    <x:xf numFmtId="0" fontId="9" fillId="3" borderId="17" xfId="0" applyNumberFormat="1" applyFont="1" applyFill="1" applyBorder="1" applyAlignment="1">
      <x:alignment vertical="center"/>
    </x:xf>
    <x:xf numFmtId="0" fontId="10" fillId="3" borderId="17" xfId="0" applyNumberFormat="1" applyFont="1" applyFill="1" applyBorder="1" applyAlignment="1">
      <x:alignment vertical="center"/>
    </x:xf>
    <x:xf numFmtId="0" fontId="9" fillId="3" borderId="17" xfId="0" applyNumberFormat="1" applyFont="1" applyFill="1" applyBorder="1" applyAlignment="1">
      <x:alignment horizontal="center" vertical="center"/>
    </x:xf>
    <x:xf numFmtId="0" fontId="8" fillId="3" borderId="17" xfId="0" applyNumberFormat="1" applyFont="1" applyFill="1" applyBorder="1" applyAlignment="1">
      <x:alignment horizontal="center" vertical="center"/>
    </x:xf>
    <x:xf numFmtId="0" fontId="8" fillId="3" borderId="17" xfId="0" applyNumberFormat="1" applyFont="1" applyFill="1" applyBorder="1" applyAlignment="1">
      <x:alignment vertical="center"/>
    </x:xf>
    <x:xf numFmtId="0" fontId="9" fillId="3" borderId="18" xfId="0" applyNumberFormat="1" applyFont="1" applyFill="1" applyBorder="1" applyAlignment="1">
      <x:alignment vertical="center"/>
    </x:xf>
    <x:xf numFmtId="166" fontId="9" fillId="3" borderId="17" xfId="0" applyNumberFormat="1" applyFont="1" applyFill="1" applyBorder="1" applyAlignment="1">
      <x:alignment vertical="center"/>
    </x:xf>
    <x:xf numFmtId="166" fontId="9" fillId="3" borderId="18" xfId="0" applyNumberFormat="1" applyFont="1" applyFill="1" applyBorder="1" applyAlignment="1">
      <x:alignment vertical="center"/>
    </x:xf>
    <x:xf numFmtId="0" fontId="9" fillId="19" borderId="17" xfId="0" applyNumberFormat="1" applyFont="1" applyFill="1" applyBorder="1" applyAlignment="1">
      <x:alignment vertical="center"/>
    </x:xf>
    <x:xf numFmtId="166" fontId="7" fillId="10" borderId="17" xfId="0" applyNumberFormat="1" applyFont="1" applyFill="1" applyBorder="1" applyAlignment="1">
      <x:alignment horizontal="center" vertical="center"/>
    </x:xf>
    <x:xf numFmtId="165" fontId="7" fillId="10" borderId="17" xfId="0" applyNumberFormat="1" applyFont="1" applyFill="1" applyBorder="1" applyAlignment="1">
      <x:alignment horizontal="center" vertical="center"/>
    </x:xf>
    <x:xf numFmtId="0" fontId="5" fillId="8" borderId="18" xfId="0" applyNumberFormat="1" applyFont="1" applyFill="1" applyBorder="1" applyAlignment="1">
      <x:alignment vertical="center"/>
    </x:xf>
    <x:xf numFmtId="166" fontId="5" fillId="8" borderId="18" xfId="0" applyNumberFormat="1" applyFont="1" applyFill="1" applyBorder="1" applyAlignment="1">
      <x:alignment vertical="center"/>
    </x:xf>
    <x:xf numFmtId="166" fontId="8" fillId="3" borderId="17" xfId="0" applyNumberFormat="1" applyFont="1" applyFill="1" applyBorder="1" applyAlignment="1">
      <x:alignment horizontal="center" vertical="center"/>
    </x:xf>
    <x:xf numFmtId="0" fontId="9" fillId="3" borderId="17" xfId="0" applyNumberFormat="1" applyFont="1" applyFill="1" applyBorder="1" applyAlignment="1">
      <x:alignment vertical="center" wrapText="1"/>
    </x:xf>
    <x:xf numFmtId="166" fontId="9" fillId="3" borderId="17" xfId="0" applyNumberFormat="1" applyFont="1" applyFill="1" applyBorder="1" applyAlignment="1">
      <x:alignment horizontal="center" vertical="center"/>
    </x:xf>
    <x:xf numFmtId="165" fontId="9" fillId="3" borderId="17" xfId="0" applyNumberFormat="1" applyFont="1" applyFill="1" applyBorder="1" applyAlignment="1">
      <x:alignment vertical="center"/>
    </x:xf>
    <x:xf numFmtId="165" fontId="9" fillId="3" borderId="18" xfId="0" applyNumberFormat="1" applyFont="1" applyFill="1" applyBorder="1" applyAlignment="1">
      <x:alignment vertical="center"/>
    </x:xf>
    <x:xf numFmtId="0" fontId="9" fillId="20" borderId="17" xfId="0" applyNumberFormat="1" applyFont="1" applyFill="1" applyBorder="1" applyAlignment="1">
      <x:alignment vertical="center"/>
    </x:xf>
    <x:xf numFmtId="0" fontId="9" fillId="20" borderId="18" xfId="0" applyNumberFormat="1" applyFont="1" applyFill="1" applyBorder="1" applyAlignment="1">
      <x:alignment vertical="center"/>
    </x:xf>
    <x:xf numFmtId="0" fontId="10" fillId="3" borderId="17" xfId="0" applyNumberFormat="1" applyFont="1" applyFill="1" applyBorder="1" applyAlignment="1">
      <x:alignment horizontal="center" vertical="center"/>
    </x:xf>
    <x:xf numFmtId="0" fontId="10" fillId="3" borderId="19" xfId="0" applyNumberFormat="1" applyFont="1" applyFill="1" applyBorder="1" applyAlignment="1">
      <x:alignment horizontal="center" vertical="center"/>
    </x:xf>
    <x:xf numFmtId="0" fontId="8" fillId="3" borderId="19" xfId="0" applyNumberFormat="1" applyFont="1" applyFill="1" applyBorder="1" applyAlignment="1">
      <x:alignment horizontal="center" vertical="center"/>
    </x:xf>
    <x:xf numFmtId="0" fontId="9" fillId="3" borderId="19" xfId="0" applyNumberFormat="1" applyFont="1" applyFill="1" applyBorder="1" applyAlignment="1">
      <x:alignment horizontal="center" vertical="center"/>
    </x:xf>
    <x:xf numFmtId="166" fontId="9" fillId="3" borderId="19" xfId="0" applyNumberFormat="1" applyFont="1" applyFill="1" applyBorder="1" applyAlignment="1">
      <x:alignment horizontal="center" vertical="center"/>
    </x:xf>
    <x:xf numFmtId="166" fontId="9" fillId="3" borderId="17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/>
    <x:xf numFmtId="0" fontId="8" fillId="3" borderId="20" xfId="0" applyNumberFormat="1" applyFont="1" applyFill="1" applyBorder="1" applyAlignment="1">
      <x:alignment horizontal="center" vertical="center"/>
    </x:xf>
    <x:xf numFmtId="0" fontId="10" fillId="3" borderId="20" xfId="0" applyNumberFormat="1" applyFont="1" applyFill="1" applyBorder="1" applyAlignment="1">
      <x:alignment horizontal="center" vertical="center"/>
    </x:xf>
    <x:xf numFmtId="0" fontId="9" fillId="3" borderId="20" xfId="0" applyNumberFormat="1" applyFont="1" applyFill="1" applyBorder="1" applyAlignment="1">
      <x:alignment vertical="center"/>
    </x:xf>
    <x:xf numFmtId="166" fontId="9" fillId="3" borderId="20" xfId="0" applyNumberFormat="1" applyFont="1" applyFill="1" applyBorder="1" applyAlignment="1">
      <x:alignment vertical="center" wrapText="1"/>
    </x:xf>
    <x:xf numFmtId="166" fontId="9" fillId="3" borderId="20" xfId="0" applyNumberFormat="1" applyFont="1" applyFill="1" applyBorder="1" applyAlignment="1">
      <x:alignment horizontal="center" vertical="center"/>
    </x:xf>
    <x:xf numFmtId="0" fontId="9" fillId="3" borderId="17" xfId="0" applyNumberFormat="1" applyFont="1" applyFill="1" applyBorder="1" applyAlignment="1">
      <x:alignment horizontal="center" vertical="center" wrapText="1"/>
    </x:xf>
    <x:xf numFmtId="0" fontId="9" fillId="3" borderId="20" xfId="0" applyNumberFormat="1" applyFont="1" applyFill="1" applyBorder="1" applyAlignment="1">
      <x:alignment horizontal="center" vertical="center" wrapText="1"/>
    </x:xf>
    <x:xf numFmtId="0" fontId="9" fillId="25" borderId="17" xfId="0" applyNumberFormat="1" applyFont="1" applyFill="1" applyBorder="1" applyAlignment="1">
      <x:alignment horizontal="center" vertical="center" wrapText="1"/>
    </x:xf>
    <x:xf numFmtId="0" fontId="9" fillId="26" borderId="17" xfId="0" applyNumberFormat="1" applyFont="1" applyFill="1" applyBorder="1" applyAlignment="1">
      <x:alignment horizontal="center" vertical="center" wrapText="1"/>
    </x:xf>
    <x:xf numFmtId="0" fontId="9" fillId="25" borderId="19" xfId="0" applyNumberFormat="1" applyFont="1" applyFill="1" applyBorder="1" applyAlignment="1">
      <x:alignment horizontal="center" vertical="center" wrapText="1"/>
    </x:xf>
    <x:xf numFmtId="0" fontId="9" fillId="26" borderId="19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9" fillId="25" borderId="20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/>
    </x:xf>
    <x:xf numFmtId="0" fontId="9" fillId="26" borderId="20" xfId="0" applyNumberFormat="1" applyFont="1" applyFill="1" applyBorder="1" applyAlignment="1">
      <x:alignment horizontal="center" vertical="center" wrapText="1"/>
    </x:xf>
    <x:xf numFmtId="0" fontId="19" fillId="27" borderId="20" xfId="0" applyNumberFormat="1" applyFont="1" applyFill="1" applyBorder="1" applyAlignment="1">
      <x:alignment horizontal="center" vertical="center"/>
    </x:xf>
    <x:xf numFmtId="0" fontId="25" fillId="23" borderId="20" xfId="0" applyNumberFormat="1" applyFont="1" applyFill="1" applyBorder="1" applyAlignment="1">
      <x:alignment horizontal="center" vertical="center" wrapText="1"/>
    </x:xf>
    <x:xf numFmtId="0" fontId="25" fillId="24" borderId="20" xfId="0" applyNumberFormat="1" applyFont="1" applyFill="1" applyBorder="1" applyAlignment="1">
      <x:alignment horizontal="center" vertical="center" wrapText="1"/>
    </x:xf>
    <x:xf numFmtId="166" fontId="19" fillId="27" borderId="20" xfId="0" applyNumberFormat="1" applyFont="1" applyFill="1" applyBorder="1" applyAlignment="1">
      <x:alignment horizontal="center" vertical="center"/>
    </x:xf>
    <x:xf numFmtId="0" fontId="27" fillId="21" borderId="17" xfId="0" applyNumberFormat="1" applyFont="1" applyFill="1" applyBorder="1" applyAlignment="1">
      <x:alignment horizontal="center" vertical="center" wrapText="1"/>
    </x:xf>
    <x:xf numFmtId="0" fontId="28" fillId="21" borderId="17" xfId="0" applyNumberFormat="1" applyFont="1" applyFill="1" applyBorder="1" applyAlignment="1">
      <x:alignment horizontal="center" vertical="center" wrapText="1"/>
    </x:xf>
    <x:xf numFmtId="166" fontId="27" fillId="21" borderId="17" xfId="0" applyNumberFormat="1" applyFont="1" applyFill="1" applyBorder="1" applyAlignment="1">
      <x:alignment horizontal="center" vertical="center" wrapText="1"/>
    </x:xf>
    <x:xf numFmtId="0" fontId="8" fillId="0" borderId="21" xfId="0" applyNumberFormat="1" applyFont="1" applyFill="1" applyBorder="1" applyAlignment="1">
      <x:alignment horizontal="center" vertical="center"/>
    </x:xf>
    <x:xf numFmtId="0" fontId="8" fillId="0" borderId="22" xfId="0" applyNumberFormat="1" applyFont="1" applyFill="1" applyBorder="1" applyAlignment="1">
      <x:alignment horizontal="center" vertical="center"/>
    </x:xf>
    <x:xf numFmtId="0" fontId="8" fillId="0" borderId="23" xfId="0" applyNumberFormat="1" applyFont="1" applyFill="1" applyBorder="1" applyAlignment="1">
      <x:alignment horizontal="center" vertical="center"/>
    </x:xf>
    <x:xf numFmtId="0" fontId="8" fillId="0" borderId="24" xfId="0" applyNumberFormat="1" applyFont="1" applyFill="1" applyBorder="1" applyAlignment="1">
      <x:alignment horizontal="center" vertical="center"/>
    </x:xf>
    <x:xf numFmtId="0" fontId="19" fillId="27" borderId="24" xfId="0" applyNumberFormat="1" applyFont="1" applyFill="1" applyBorder="1" applyAlignment="1">
      <x:alignment horizontal="center" vertical="center"/>
    </x:xf>
    <x:xf numFmtId="0" fontId="27" fillId="21" borderId="22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/>
    </x:xf>
    <x:xf numFmtId="0" fontId="8" fillId="3" borderId="25" xfId="0" applyNumberFormat="1" applyFont="1" applyFill="1" applyBorder="1" applyAlignment="1">
      <x:alignment vertical="center"/>
    </x:xf>
    <x:xf numFmtId="166" fontId="8" fillId="3" borderId="25" xfId="0" applyNumberFormat="1" applyFont="1" applyFill="1" applyBorder="1" applyAlignment="1">
      <x:alignment vertical="center"/>
    </x:xf>
    <x:xf numFmtId="0" fontId="8" fillId="3" borderId="25" xfId="0" applyNumberFormat="1" applyFont="1" applyFill="1" applyBorder="1" applyAlignment="1">
      <x:alignment horizontal="center" vertical="center"/>
    </x:xf>
    <x:xf numFmtId="0" fontId="10" fillId="3" borderId="25" xfId="0" applyNumberFormat="1" applyFont="1" applyFill="1" applyBorder="1" applyAlignment="1">
      <x:alignment horizontal="center" vertical="center"/>
    </x:xf>
    <x:xf numFmtId="0" fontId="8" fillId="0" borderId="17" xfId="0" applyNumberFormat="1" applyFont="1" applyFill="1" applyBorder="1" applyAlignment="1">
      <x:alignment horizontal="center" vertical="center"/>
    </x:xf>
    <x:xf numFmtId="0" fontId="8" fillId="0" borderId="25" xfId="0" applyNumberFormat="1" applyFont="1" applyFill="1" applyBorder="1" applyAlignment="1">
      <x:alignment horizontal="center" vertical="center"/>
    </x:xf>
    <x:xf numFmtId="0" fontId="8" fillId="0" borderId="26" xfId="0" applyNumberFormat="1" applyFont="1" applyFill="1" applyBorder="1" applyAlignment="1">
      <x:alignment horizontal="center" vertical="center"/>
    </x:xf>
    <x:xf numFmtId="0" fontId="7" fillId="10" borderId="20" xfId="0" applyNumberFormat="1" applyFont="1" applyFill="1" applyBorder="1" applyAlignment="1">
      <x:alignment horizontal="left" vertical="center"/>
    </x:xf>
    <x:xf numFmtId="0" fontId="7" fillId="10" borderId="20" xfId="0" applyNumberFormat="1" applyFont="1" applyFill="1" applyBorder="1" applyAlignment="1">
      <x:alignment horizontal="center" vertical="center"/>
    </x:xf>
    <x:xf numFmtId="0" fontId="7" fillId="10" borderId="20" xfId="0" applyNumberFormat="1" applyFont="1" applyFill="1" applyBorder="1" applyAlignment="1">
      <x:alignment horizontal="center" vertical="center" wrapText="1"/>
    </x:xf>
    <x:xf numFmtId="0" fontId="7" fillId="11" borderId="20" xfId="0" applyNumberFormat="1" applyFont="1" applyFill="1" applyBorder="1" applyAlignment="1">
      <x:alignment horizontal="center" vertical="center"/>
    </x:xf>
    <x:xf numFmtId="166" fontId="8" fillId="3" borderId="17" xfId="0" applyNumberFormat="1" applyFont="1" applyFill="1" applyBorder="1" applyAlignment="1">
      <x:alignment vertical="center"/>
    </x:xf>
    <x:xf numFmtId="0" fontId="8" fillId="2" borderId="17" xfId="0" applyNumberFormat="1" applyFont="1" applyFill="1" applyBorder="1" applyAlignment="1">
      <x:alignment horizontal="center" vertical="center"/>
    </x:xf>
    <x:xf numFmtId="0" fontId="8" fillId="0" borderId="17" xfId="0" applyNumberFormat="1" applyFont="1" applyFill="1" applyBorder="1" applyAlignment="1">
      <x:alignment horizontal="left" vertical="center"/>
    </x:xf>
    <x:xf numFmtId="0" fontId="8" fillId="0" borderId="17" xfId="0" applyNumberFormat="1" applyFont="1" applyFill="1" applyBorder="1" applyAlignment="1">
      <x:alignment vertical="center"/>
    </x:xf>
    <x:xf numFmtId="0" fontId="8" fillId="3" borderId="17" xfId="0" applyNumberFormat="1" applyFont="1" applyFill="1" applyBorder="1" applyAlignment="1">
      <x:alignment horizontal="left" vertical="center"/>
    </x:xf>
    <x:xf numFmtId="0" fontId="32" fillId="29" borderId="27" xfId="0" applyNumberFormat="1" applyFont="1" applyFill="1" applyBorder="1" applyAlignment="1">
      <x:alignment vertical="center"/>
    </x:xf>
    <x:xf numFmtId="0" fontId="32" fillId="29" borderId="17" xfId="0" applyNumberFormat="1" applyFont="1" applyFill="1" applyBorder="1" applyAlignment="1">
      <x:alignment vertical="center"/>
    </x:xf>
    <x:xf numFmtId="0" fontId="32" fillId="29" borderId="28" xfId="0" applyNumberFormat="1" applyFont="1" applyFill="1" applyBorder="1" applyAlignment="1">
      <x:alignment vertical="center"/>
    </x:xf>
    <x:xf numFmtId="0" fontId="9" fillId="0" borderId="17" xfId="0" applyNumberFormat="1" applyFont="1" applyFill="1" applyBorder="1" applyAlignment="1">
      <x:alignment horizontal="center" vertical="center"/>
    </x:xf>
    <x:xf numFmtId="0" fontId="9" fillId="0" borderId="17" xfId="0" applyNumberFormat="1" applyFont="1" applyFill="1" applyBorder="1" applyAlignment="1">
      <x:alignment horizontal="left" vertical="center"/>
    </x:xf>
    <x:xf numFmtId="0" fontId="9" fillId="0" borderId="17" xfId="0" applyNumberFormat="1" applyFont="1" applyFill="1" applyBorder="1" applyAlignment="1">
      <x:alignment horizontal="left" vertical="center" wrapText="1"/>
    </x:xf>
    <x:xf numFmtId="165" fontId="9" fillId="0" borderId="17" xfId="0" applyNumberFormat="1" applyFont="1" applyFill="1" applyBorder="1" applyAlignment="1">
      <x:alignment horizontal="center" vertical="center"/>
    </x:xf>
    <x:xf numFmtId="0" fontId="9" fillId="3" borderId="17" xfId="0" applyNumberFormat="1" applyFont="1" applyFill="1" applyBorder="1" applyAlignment="1">
      <x:alignment horizontal="left" vertical="center" wrapText="1"/>
    </x:xf>
    <x:xf numFmtId="0" fontId="31" fillId="29" borderId="17" xfId="0" applyNumberFormat="1" applyFont="1" applyFill="1" applyBorder="1" applyAlignment="1">
      <x:alignment vertical="center"/>
    </x:xf>
    <x:xf numFmtId="164" fontId="9" fillId="3" borderId="17" xfId="0" applyNumberFormat="1" applyFont="1" applyFill="1" applyBorder="1" applyAlignment="1">
      <x:alignment vertical="center"/>
    </x:xf>
    <x:xf numFmtId="0" fontId="33" fillId="28" borderId="27" xfId="0" applyNumberFormat="1" applyFont="1" applyFill="1" applyBorder="1" applyAlignment="1">
      <x:alignment vertical="center"/>
    </x:xf>
    <x:xf numFmtId="0" fontId="33" fillId="28" borderId="17" xfId="0" applyNumberFormat="1" applyFont="1" applyFill="1" applyBorder="1" applyAlignment="1">
      <x:alignment vertical="center"/>
    </x:xf>
    <x:xf numFmtId="0" fontId="33" fillId="28" borderId="28" xfId="0" applyNumberFormat="1" applyFont="1" applyFill="1" applyBorder="1" applyAlignment="1">
      <x:alignment vertical="center"/>
    </x:xf>
    <x:xf numFmtId="0" fontId="9" fillId="23" borderId="17" xfId="0" applyNumberFormat="1" applyFont="1" applyFill="1" applyBorder="1" applyAlignment="1">
      <x:alignment horizontal="center" vertical="center" wrapText="1"/>
    </x:xf>
    <x:xf numFmtId="0" fontId="9" fillId="23" borderId="17" xfId="0" applyNumberFormat="1" applyFont="1" applyFill="1" applyBorder="1" applyAlignment="1">
      <x:alignment horizontal="left" vertical="center" wrapText="1"/>
    </x:xf>
    <x:xf numFmtId="0" fontId="9" fillId="23" borderId="17" xfId="0" applyNumberFormat="1" applyFont="1" applyFill="1" applyBorder="1" applyAlignment="1">
      <x:alignment horizontal="center" vertical="center"/>
    </x:xf>
    <x:xf numFmtId="0" fontId="9" fillId="23" borderId="17" xfId="0" applyNumberFormat="1" applyFont="1" applyFill="1" applyBorder="1" applyAlignment="1">
      <x:alignment horizontal="left" vertical="center"/>
    </x:xf>
    <x:xf numFmtId="0" fontId="34" fillId="32" borderId="20" xfId="0" applyNumberFormat="1" applyFont="1" applyFill="1" applyBorder="1" applyAlignment="1">
      <x:alignment horizontal="center" wrapText="1"/>
    </x:xf>
    <x:xf numFmtId="1" fontId="9" fillId="23" borderId="17" xfId="0" applyNumberFormat="1" applyFont="1" applyFill="1" applyBorder="1" applyAlignment="1">
      <x:alignment horizontal="center" vertical="center" wrapText="1"/>
    </x:xf>
    <x:xf numFmtId="1" fontId="9" fillId="3" borderId="17" xfId="0" applyNumberFormat="1" applyFont="1" applyFill="1" applyBorder="1" applyAlignment="1">
      <x:alignment horizontal="center" vertical="center" wrapText="1"/>
    </x:xf>
    <x:xf numFmtId="1" fontId="9" fillId="23" borderId="17" xfId="0" applyNumberFormat="1" applyFont="1" applyFill="1" applyBorder="1" applyAlignment="1">
      <x:alignment horizontal="center" vertical="center"/>
    </x:xf>
    <x:xf numFmtId="1" fontId="9" fillId="0" borderId="17" xfId="0" applyNumberFormat="1" applyFont="1" applyFill="1" applyBorder="1" applyAlignment="1">
      <x:alignment horizontal="center" vertical="center"/>
    </x:xf>
    <x:xf numFmtId="165" fontId="34" fillId="32" borderId="20" xfId="0" applyNumberFormat="1" applyFont="1" applyFill="1" applyBorder="1" applyAlignment="1">
      <x:alignment horizontal="center" wrapText="1"/>
    </x:xf>
    <x:xf numFmtId="0" fontId="9" fillId="3" borderId="17" xfId="0" applyNumberFormat="1" applyFont="1" applyFill="1" applyBorder="1" applyAlignment="1">
      <x:alignment horizontal="left" vertical="center"/>
    </x:xf>
    <x:xf numFmtId="165" fontId="9" fillId="3" borderId="17" xfId="0" applyNumberFormat="1" applyFont="1" applyFill="1" applyBorder="1" applyAlignment="1">
      <x:alignment horizontal="center" vertical="center"/>
    </x:xf>
    <x:xf numFmtId="0" fontId="30" fillId="28" borderId="17" xfId="0" applyNumberFormat="1" applyFont="1" applyFill="1" applyBorder="1" applyAlignment="1">
      <x:alignment horizontal="centerContinuous" vertical="center"/>
    </x:xf>
    <x:xf numFmtId="0" fontId="31" fillId="0" borderId="17" xfId="0" applyNumberFormat="1" applyFont="1" applyFill="1" applyBorder="1" applyAlignment="1">
      <x:alignment horizontal="centerContinuous" vertical="center"/>
    </x:xf>
    <x:xf numFmtId="0" fontId="0" fillId="0" borderId="17" xfId="0" applyNumberFormat="1" applyFont="1" applyFill="1" applyBorder="1" applyAlignment="1">
      <x:alignment horizontal="centerContinuous"/>
    </x:xf>
    <x:xf numFmtId="0" fontId="2" fillId="33" borderId="17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wrapText="1"/>
    </x:xf>
    <x:xf numFmtId="1" fontId="0" fillId="0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1" fontId="0" fillId="0" borderId="17" xfId="0" applyNumberFormat="1" applyFont="1" applyFill="1" applyBorder="1" applyAlignment="1">
      <x:alignment vertical="top" wrapText="1"/>
    </x:xf>
    <x:xf numFmtId="165" fontId="0" fillId="0" borderId="17" xfId="0" applyNumberFormat="1" applyFont="1" applyFill="1" applyBorder="1" applyAlignment="1">
      <x:alignment vertical="top" wrapText="1"/>
    </x:xf>
    <x:xf numFmtId="0" fontId="2" fillId="34" borderId="17" xfId="0" applyNumberFormat="1" applyFont="1" applyFill="1" applyBorder="1" applyAlignment="1">
      <x:alignment horizontal="center" vertical="center" wrapText="1"/>
    </x:xf>
    <x:xf numFmtId="167" fontId="0" fillId="0" borderId="17" xfId="0" applyNumberFormat="1" applyFont="1" applyFill="1" applyBorder="1" applyAlignment="1">
      <x:alignment wrapText="1"/>
    </x:xf>
    <x:xf numFmtId="166" fontId="0" fillId="0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7" xfId="0" applyNumberFormat="1" applyFont="1" applyFill="1" applyBorder="1" applyAlignment="1">
      <x:alignment vertical="center" wrapText="1"/>
    </x:xf>
    <x:xf numFmtId="0" fontId="5" fillId="3" borderId="17" xfId="0" applyNumberFormat="1" applyFont="1" applyFill="1" applyBorder="1" applyAlignment="1">
      <x:alignment vertical="center" wrapText="1"/>
    </x:xf>
    <x:xf numFmtId="166" fontId="5" fillId="3" borderId="17" xfId="0" applyNumberFormat="1" applyFont="1" applyFill="1" applyBorder="1" applyAlignment="1">
      <x:alignment vertical="center" wrapText="1"/>
    </x:xf>
    <x:xf numFmtId="0" fontId="5" fillId="8" borderId="17" xfId="0" applyNumberFormat="1" applyFont="1" applyFill="1" applyBorder="1" applyAlignment="1">
      <x:alignment vertical="center" wrapText="1"/>
    </x:xf>
    <x:xf numFmtId="166" fontId="5" fillId="8" borderId="17" xfId="0" applyNumberFormat="1" applyFont="1" applyFill="1" applyBorder="1" applyAlignment="1">
      <x:alignment vertical="center" wrapText="1"/>
    </x:xf>
    <x:xf numFmtId="0" fontId="17" fillId="2" borderId="17" xfId="0" applyNumberFormat="1" applyFont="1" applyFill="1" applyBorder="1" applyAlignment="1">
      <x:alignment horizontal="left" vertical="center" wrapText="1"/>
    </x:xf>
    <x:xf numFmtId="0" fontId="17" fillId="22" borderId="17" xfId="0" applyNumberFormat="1" applyFont="1" applyFill="1" applyBorder="1" applyAlignment="1">
      <x:alignment horizontal="left" vertical="center"/>
    </x:xf>
    <x:xf numFmtId="0" fontId="18" fillId="22" borderId="17" xfId="0" applyNumberFormat="1" applyFont="1" applyFill="1" applyBorder="1" applyAlignment="1">
      <x:alignment horizontal="left" vertical="center"/>
    </x:xf>
    <x:xf numFmtId="166" fontId="17" fillId="22" borderId="17" xfId="0" applyNumberFormat="1" applyFont="1" applyFill="1" applyBorder="1" applyAlignment="1">
      <x:alignment horizontal="left" vertical="center"/>
    </x:xf>
    <x:xf numFmtId="0" fontId="17" fillId="2" borderId="17" xfId="0" applyNumberFormat="1" applyFont="1" applyFill="1" applyBorder="1" applyAlignment="1">
      <x:alignment vertical="center"/>
    </x:xf>
    <x:xf numFmtId="166" fontId="17" fillId="2" borderId="17" xfId="0" applyNumberFormat="1" applyFont="1" applyFill="1" applyBorder="1" applyAlignment="1">
      <x:alignment vertical="center"/>
    </x:xf>
    <x:xf numFmtId="165" fontId="17" fillId="2" borderId="17" xfId="0" applyNumberFormat="1" applyFont="1" applyFill="1" applyBorder="1" applyAlignment="1">
      <x:alignment vertical="center"/>
    </x:xf>
    <x:xf numFmtId="0" fontId="9" fillId="15" borderId="17" xfId="0" applyNumberFormat="1" applyFont="1" applyFill="1" applyBorder="1" applyAlignment="1">
      <x:alignment vertical="top" wrapText="1"/>
    </x:xf>
    <x:xf numFmtId="0" fontId="11" fillId="2" borderId="17" xfId="0" applyNumberFormat="1" applyFont="1" applyFill="1" applyBorder="1" applyAlignment="1">
      <x:alignment horizontal="center" vertical="center"/>
    </x:xf>
    <x:xf numFmtId="0" fontId="12" fillId="10" borderId="17" xfId="0" applyNumberFormat="1" applyFont="1" applyFill="1" applyBorder="1" applyAlignment="1">
      <x:alignment horizontal="center" vertical="center"/>
    </x:xf>
    <x:xf numFmtId="0" fontId="12" fillId="11" borderId="17" xfId="0" applyNumberFormat="1" applyFont="1" applyFill="1" applyBorder="1" applyAlignment="1">
      <x:alignment horizontal="center" vertical="center"/>
    </x:xf>
    <x:xf numFmtId="0" fontId="6" fillId="12" borderId="17" xfId="0" applyNumberFormat="1" applyFont="1" applyFill="1" applyBorder="1" applyAlignment="1">
      <x:alignment horizontal="center" vertical="center"/>
    </x:xf>
    <x:xf numFmtId="0" fontId="13" fillId="13" borderId="17" xfId="0" applyNumberFormat="1" applyFont="1" applyFill="1" applyBorder="1" applyAlignment="1">
      <x:alignment horizontal="center" vertical="center"/>
    </x:xf>
    <x:xf numFmtId="0" fontId="29" fillId="14" borderId="17" xfId="0" applyNumberFormat="1" applyFont="1" applyFill="1" applyBorder="1" applyAlignment="1">
      <x:alignment horizontal="center" vertical="center"/>
    </x:xf>
    <x:xf numFmtId="0" fontId="14" fillId="15" borderId="17" xfId="0" applyNumberFormat="1" applyFont="1" applyFill="1" applyBorder="1" applyAlignment="1">
      <x:alignment horizontal="center" vertical="center" wrapText="1"/>
    </x:xf>
    <x:xf numFmtId="0" fontId="8" fillId="16" borderId="17" xfId="0" applyNumberFormat="1" applyFont="1" applyFill="1" applyBorder="1" applyAlignment="1">
      <x:alignment horizontal="center" vertical="center"/>
    </x:xf>
    <x:xf numFmtId="0" fontId="33" fillId="28" borderId="17" xfId="0" applyNumberFormat="1" applyFont="1" applyFill="1" applyBorder="1" applyAlignment="1">
      <x:alignment horizontal="left" vertical="center"/>
    </x:xf>
    <x:xf numFmtId="0" fontId="3" fillId="2" borderId="17" xfId="0" applyNumberFormat="1" applyFont="1" applyFill="1" applyBorder="1" applyAlignment="1">
      <x:alignment horizontal="center" vertical="center"/>
    </x:xf>
    <x:xf numFmtId="0" fontId="4" fillId="6" borderId="17" xfId="0" applyNumberFormat="1" applyFont="1" applyFill="1" applyBorder="1" applyAlignment="1">
      <x:alignment horizontal="center"/>
    </x:xf>
    <x:xf numFmtId="0" fontId="20" fillId="34" borderId="17" xfId="0" applyNumberFormat="1" applyFont="1" applyFill="1" applyBorder="1" applyAlignment="1">
      <x:alignment horizontal="center" vertical="center" wrapText="1"/>
    </x:xf>
    <x:xf numFmtId="0" fontId="20" fillId="2" borderId="17" xfId="0" applyNumberFormat="1" applyFont="1" applyFill="1" applyBorder="1" applyAlignment="1">
      <x:alignment horizontal="center" vertical="center" wrapText="1"/>
    </x:xf>
    <x:xf numFmtId="0" fontId="21" fillId="17" borderId="1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2" fillId="3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166" fontId="0" fillId="0" borderId="0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2" fillId="35" borderId="0" xfId="0" applyNumberFormat="1" applyFont="1" applyFill="1" applyBorder="1"/>
    <x:xf numFmtId="0" fontId="2" fillId="35" borderId="0" xfId="0" applyNumberFormat="1" applyFont="1" applyFill="1" applyBorder="1" applyAlignment="1">
      <x:alignment horizontal="center"/>
    </x:xf>
    <x:xf numFmtId="0" fontId="2" fillId="35" borderId="0" xfId="0" applyNumberFormat="1" applyFont="1" applyFill="1" applyBorder="1" applyAlignment="1">
      <x:alignment horizontal="center" vertical="center"/>
    </x:xf>
    <x:xf numFmtId="0" fontId="0" fillId="35" borderId="17" xfId="0" applyNumberFormat="1" applyFont="1" applyFill="1" applyBorder="1"/>
    <x:xf numFmtId="0" fontId="2" fillId="35" borderId="17" xfId="0" applyNumberFormat="1" applyFont="1" applyFill="1" applyBorder="1"/>
    <x:xf numFmtId="0" fontId="2" fillId="35" borderId="17" xfId="0" applyNumberFormat="1" applyFont="1" applyFill="1" applyBorder="1" applyAlignment="1">
      <x:alignment horizontal="center"/>
    </x:xf>
    <x:xf numFmtId="0" fontId="2" fillId="35" borderId="17" xfId="0" applyNumberFormat="1" applyFont="1" applyFill="1" applyBorder="1" applyAlignment="1">
      <x:alignment horizontal="center" vertical="center"/>
    </x:xf>
    <x:xf numFmtId="0" fontId="2" fillId="35" borderId="0" xfId="0" applyNumberFormat="1" applyFont="1" applyFill="1" applyBorder="1" applyAlignment="1">
      <x:alignment horizontal="center" vertical="center" wrapText="1"/>
    </x:xf>
    <x:xf numFmtId="0" fontId="2" fillId="35" borderId="17" xfId="0" applyNumberFormat="1" applyFont="1" applyFill="1" applyBorder="1" applyAlignment="1">
      <x:alignment horizontal="center" vertical="center" wrapText="1"/>
    </x:xf>
    <x:xf numFmtId="165" fontId="0" fillId="0" borderId="0" xfId="0" applyNumberFormat="1" applyFont="1" applyFill="1" applyBorder="1" applyAlignment="1">
      <x:alignment wrapText="1"/>
    </x:xf>
    <x:xf numFmtId="165" fontId="0" fillId="0" borderId="17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7" xfId="0" applyNumberFormat="1" applyFont="1" applyFill="1" applyBorder="1" applyAlignment="1">
      <x:alignment wrapText="1"/>
    </x:xf>
    <x:xf numFmtId="0" fontId="36" fillId="0" borderId="0" xfId="0" applyNumberFormat="1" applyFont="1" applyFill="1" applyBorder="1"/>
    <x:xf numFmtId="0" fontId="36" fillId="0" borderId="17" xfId="0" applyNumberFormat="1" applyFont="1" applyFill="1" applyBorder="1"/>
    <x:xf numFmtId="0" fontId="36" fillId="36" borderId="0" xfId="0" applyNumberFormat="1" applyFont="1" applyFill="1" applyBorder="1"/>
    <x:xf numFmtId="0" fontId="37" fillId="36" borderId="0" xfId="0" applyNumberFormat="1" applyFont="1" applyFill="1" applyBorder="1"/>
    <x:xf numFmtId="0" fontId="36" fillId="36" borderId="17" xfId="0" applyNumberFormat="1" applyFont="1" applyFill="1" applyBorder="1"/>
    <x:xf numFmtId="0" fontId="37" fillId="36" borderId="17" xfId="0" applyNumberFormat="1" applyFont="1" applyFill="1" applyBorder="1"/>
  </x:cellXfs>
  <x:cellStyles count="1">
    <x:cellStyle name="Normal" xfId="0"/>
  </x:cellStyles>
  <x:dxfs count="158">
    <x:dxf>
      <x:font>
        <x:b/>
        <x:color rgb="FFA61B1B"/>
      </x:font>
      <x:fill>
        <x:patternFill>
          <x:bgColor rgb="FFF7E8E8"/>
        </x:patternFill>
      </x:fill>
    </x:dxf>
    <x:dxf>
      <x:font>
        <x:b/>
        <x:color rgb="FF0B1F3A"/>
      </x:font>
      <x:fill>
        <x:patternFill>
          <x:bgColor rgb="FFE8EEF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ont>
        <x:b/>
        <x:color rgb="FF137333"/>
      </x:font>
    </x:dxf>
    <x:dxf>
      <x:font>
        <x:b/>
        <x:color rgb="FF7A5C00"/>
      </x:font>
    </x:dxf>
    <x:dxf>
      <x:font>
        <x:b/>
        <x:color rgb="FFB3261E"/>
      </x:font>
    </x:dxf>
    <x:dxf>
      <x:font>
        <x:b/>
        <x:color rgb="FFA61B1B"/>
      </x:font>
      <x:fill>
        <x:patternFill>
          <x:bgColor rgb="FFFCE8E8"/>
        </x:patternFill>
      </x:fill>
    </x:dxf>
    <x:dxf>
      <x:font>
        <x:b/>
        <x:color rgb="FF2E7D32"/>
      </x:font>
      <x:fill>
        <x:patternFill>
          <x:bgColor rgb="FFDFF2E1"/>
        </x:patternFill>
      </x:fill>
    </x:dxf>
    <x:dxf>
      <x:font>
        <x:b/>
        <x:color rgb="FFA61B1B"/>
      </x:font>
      <x:fill>
        <x:patternFill>
          <x:bgColor rgb="FFFCE8E8"/>
        </x:patternFill>
      </x:fill>
    </x:dxf>
    <x:dxf>
      <x:font>
        <x:b/>
        <x:color rgb="FF2E7D32"/>
      </x:font>
      <x:fill>
        <x:patternFill>
          <x:bgColor rgb="FFDFF2E1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ont>
        <x:b/>
        <x:color rgb="FF0B1F3A"/>
      </x:font>
      <x:fill>
        <x:patternFill>
          <x:bgColor rgb="FFE8EEF5"/>
        </x:patternFill>
      </x:fill>
    </x:dxf>
    <x:dxf>
      <x:font>
        <x:b/>
        <x:color rgb="FFA61B1B"/>
      </x:font>
      <x:fill>
        <x:patternFill>
          <x:bgColor rgb="FFF7E8E8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rgb="FFF89292"/>
        </x:patternFill>
      </x:fill>
    </x:dxf>
    <x:dxf>
      <x:fill>
        <x:patternFill>
          <x:bgColor theme="4" tint="0.39995"/>
        </x:patternFill>
      </x:fill>
    </x:dxf>
    <x:dxf>
      <x:fill>
        <x:patternFill>
          <x:bgColor indexed="64"/>
        </x:patternFill>
      </x:fill>
    </x:dxf>
    <x:dxf>
      <x:fill>
        <x:patternFill>
          <x:bgColor indexed="64"/>
        </x:patternFill>
      </x:fill>
    </x:dxf>
    <x:dxf>
      <x:fill>
        <x:patternFill>
          <x:bgColor indexed="64"/>
        </x:patternFill>
      </x:fill>
    </x:dxf>
    <x:dxf>
      <x:fill>
        <x:patternFill>
          <x:bgColor indexed="64"/>
        </x:patternFill>
      </x:fill>
    </x:dxf>
    <x:dxf>
      <x:font>
        <x:b/>
        <x:color rgb="FF2E7D32"/>
      </x:font>
      <x:fill>
        <x:patternFill>
          <x:bgColor rgb="FFDFF2E1"/>
        </x:patternFill>
      </x:fill>
    </x:dxf>
    <x:dxf>
      <x:font>
        <x:b/>
        <x:color rgb="FF8A6D1D"/>
      </x:font>
      <x:fill>
        <x:patternFill>
          <x:bgColor rgb="FFF8EFC8"/>
        </x:patternFill>
      </x:fill>
    </x:dxf>
    <x:dxf>
      <x:font>
        <x:b/>
        <x:color rgb="FF0B1F3A"/>
      </x:font>
      <x:fill>
        <x:patternFill>
          <x:bgColor rgb="FFDDE8F4"/>
        </x:patternFill>
      </x:fill>
    </x:dxf>
    <x:dxf>
      <x:font>
        <x:b/>
        <x:color rgb="FFB4232C"/>
      </x:font>
      <x:fill>
        <x:patternFill>
          <x:bgColor rgb="FFFADADD"/>
        </x:patternFill>
      </x:fill>
    </x:dxf>
    <x:dxf>
      <x:font>
        <x:b/>
        <x:color rgb="FF8A6D1D"/>
      </x:font>
      <x:fill>
        <x:patternFill>
          <x:bgColor rgb="FFF8EFC8"/>
        </x:patternFill>
      </x:fill>
    </x:dxf>
    <x:dxf>
      <x:font>
        <x:b/>
        <x:color rgb="FF0B1F3A"/>
      </x:font>
      <x:fill>
        <x:patternFill>
          <x:bgColor rgb="FFDDE8F4"/>
        </x:patternFill>
      </x:fill>
    </x:dxf>
    <x:dxf>
      <x:font>
        <x:b/>
        <x:color rgb="FFB4232C"/>
      </x:font>
      <x:fill>
        <x:patternFill>
          <x:bgColor rgb="FFFADADD"/>
        </x:patternFill>
      </x:fill>
    </x:dxf>
    <x:dxf>
      <x:font>
        <x:b/>
        <x:color rgb="FF17202A"/>
      </x:font>
      <x:fill>
        <x:patternFill>
          <x:bgColor rgb="FFD4AF37"/>
        </x:patternFill>
      </x:fill>
    </x:dxf>
    <x:dxf>
      <x:font>
        <x:b/>
        <x:color rgb="FFFFFFFF"/>
      </x:font>
      <x:fill>
        <x:patternFill>
          <x:bgColor rgb="FFA61B1B"/>
        </x:patternFill>
      </x:fill>
    </x:dxf>
    <x:dxf>
      <x:font>
        <x:b/>
        <x:color rgb="FFFFFFFF"/>
      </x:font>
      <x:fill>
        <x:patternFill>
          <x:bgColor rgb="FF173A63"/>
        </x:patternFill>
      </x:fill>
    </x:dxf>
    <x:dxf>
      <x:fill>
        <x:patternFill>
          <x:bgColor theme="5" tint="0.79992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theme="4" tint="0.79992"/>
        </x:patternFill>
      </x:fill>
    </x:dxf>
    <x:dxf>
      <x:fill>
        <x:patternFill>
          <x:bgColor theme="5" tint="0.79992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theme="4" tint="0.79992"/>
        </x:patternFill>
      </x:fill>
    </x:dxf>
    <x:dxf>
      <x:fill>
        <x:patternFill>
          <x:bgColor theme="5" tint="0.79992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theme="4" tint="0.79992"/>
        </x:patternFill>
      </x:fill>
    </x:dxf>
    <x:dxf>
      <x:fill>
        <x:patternFill>
          <x:bgColor theme="5" tint="0.79992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theme="4" tint="0.79992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theme="4" tint="0.79992"/>
        </x:patternFill>
      </x:fill>
    </x:dxf>
    <x:dxf>
      <x:fill>
        <x:patternFill>
          <x:bgColor theme="5" tint="0.79992"/>
        </x:patternFill>
      </x:fill>
    </x:dxf>
    <x:dxf>
      <x:fill>
        <x:patternFill>
          <x:bgColor theme="5" tint="0.79992"/>
        </x:patternFill>
      </x:fill>
    </x:dxf>
    <x:dxf>
      <x:fill>
        <x:patternFill>
          <x:bgColor theme="0" tint="-0.04999"/>
        </x:patternFill>
      </x:fill>
    </x:dxf>
    <x:dxf>
      <x:fill>
        <x:patternFill>
          <x:bgColor theme="4" tint="0.79992"/>
        </x:patternFill>
      </x:fill>
    </x:dxf>
    <x:dxf>
      <x:fill>
        <x:patternFill>
          <x:bgColor theme="4" tint="0.79992"/>
        </x:patternFill>
      </x:fill>
    </x:dxf>
    <x:dxf>
      <x:fill>
        <x:patternFill>
          <x:bgColor theme="5" tint="0.79992"/>
        </x:patternFill>
      </x:fill>
    </x:dxf>
    <x:dxf>
      <x:fill>
        <x:patternFill>
          <x:bgColor theme="0" tint="-0.04999"/>
        </x:patternFill>
      </x:fill>
    </x:dxf>
    <x:dxf>
      <x:font>
        <x:b/>
        <x:color rgb="FFB4232C"/>
      </x:font>
    </x:dxf>
    <x:dxf>
      <x:font>
        <x:b/>
        <x:color rgb="FF0B1F3A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25e75a81c844fe" /><Relationship Type="http://schemas.openxmlformats.org/officeDocument/2006/relationships/theme" Target="/xl/theme/theme1.xml" Id="R30afe71ff7224f1a" /><Relationship Type="http://schemas.microsoft.com/office/2022/11/relationships/FeaturePropertyBag" Target="/xl/featurePropertyBag/featurePropertyBag.xml" Id="Rd7f07b4b3dda4276" /><Relationship Type="http://schemas.openxmlformats.org/officeDocument/2006/relationships/sharedStrings" Target="/xl/sharedStrings.xml" Id="Rbf343f4f6cd2454c" /><Relationship Type="http://schemas.openxmlformats.org/officeDocument/2006/relationships/worksheet" Target="/xl/worksheets/sheet1.xml" Id="Rd810f0f9f54640b5" /><Relationship Type="http://schemas.openxmlformats.org/officeDocument/2006/relationships/worksheet" Target="/xl/worksheets/sheet2.xml" Id="R4a3dcb43fc484ca9" /><Relationship Type="http://schemas.openxmlformats.org/officeDocument/2006/relationships/worksheet" Target="/xl/worksheets/sheet3.xml" Id="R7a29a3f8be084c4c" /><Relationship Type="http://schemas.openxmlformats.org/officeDocument/2006/relationships/worksheet" Target="/xl/worksheets/sheet4.xml" Id="Ra88fadab9a6a4b58" /><Relationship Type="http://schemas.openxmlformats.org/officeDocument/2006/relationships/worksheet" Target="/xl/worksheets/sheet5.xml" Id="R1215211747874528" /><Relationship Type="http://schemas.openxmlformats.org/officeDocument/2006/relationships/worksheet" Target="/xl/worksheets/sheet6.xml" Id="Rc2b03467a54f4b08" /><Relationship Type="http://schemas.openxmlformats.org/officeDocument/2006/relationships/worksheet" Target="/xl/worksheets/sheet7.xml" Id="R3184b2406fc94fb2" /><Relationship Type="http://schemas.openxmlformats.org/officeDocument/2006/relationships/worksheet" Target="/xl/worksheets/sheet8.xml" Id="Rbd27d24f3bb440e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layerMatchHistory" displayName="PlayerMatchHistory" ref="A28:J196">
  <x:autoFilter ref="A28:J196"/>
  <x:tableColumns count="10">
    <x:tableColumn id="1" name="Year"/>
    <x:tableColumn id="2" name="Day"/>
    <x:tableColumn id="11" name="Format"/>
    <x:tableColumn id="3" name="Segment"/>
    <x:tableColumn id="4" name="Player"/>
    <x:tableColumn id="5" name="Team"/>
    <x:tableColumn id="6" name="Teammate(s)"/>
    <x:tableColumn id="7" name="Singles Opponent"/>
    <x:tableColumn id="8" name="Result"/>
    <x:tableColumn id="9" name="Score / Notes"/>
  </x:tableColumns>
  <x:tableStyleInfo name="TableStyleMedium2" showRowStripes="1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840a2a20c614e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2.5703125" defaultRowHeight="12.75"/>
  <x:cols>
    <x:col min="1" max="2" width="18" customWidth="1"/>
    <x:col min="3" max="3" width="8" customWidth="1"/>
    <x:col min="4" max="7" width="17" customWidth="1"/>
    <x:col min="8" max="8" width="13" customWidth="1"/>
    <x:col min="9" max="9" width="24" customWidth="1"/>
    <x:col min="10" max="10" width="13" customWidth="1"/>
    <x:col min="11" max="12" width="11" customWidth="1"/>
    <x:col min="13" max="13" width="24" customWidth="1"/>
    <x:col min="14" max="14" width="16" customWidth="1"/>
    <x:col min="16" max="17" width="16" customWidth="1"/>
  </x:cols>
  <x:sheetData>
    <x:row r="1" ht="27.950000762939453" customHeight="1">
      <x:c r="A1" s="171" t="s">
        <x:v>0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71"/>
      <x:c r="M1" s="171"/>
      <x:c r="N1" s="171"/>
    </x:row>
    <x:row r="2" ht="27.950000762939453" customHeight="1">
      <x:c r="A2" s="171"/>
      <x:c r="B2" s="171"/>
      <x:c r="C2" s="171"/>
      <x:c r="D2" s="171"/>
      <x:c r="E2" s="171"/>
      <x:c r="F2" s="171"/>
      <x:c r="G2" s="171"/>
      <x:c r="H2" s="171"/>
      <x:c r="I2" s="171"/>
      <x:c r="J2" s="171"/>
      <x:c r="K2" s="171"/>
      <x:c r="L2" s="171"/>
      <x:c r="M2" s="171"/>
      <x:c r="N2" s="171"/>
    </x:row>
    <x:row r="3" ht="15.75" customHeight="1">
      <x:c r="A3" s="13" t="s">
        <x:v>1</x:v>
      </x:c>
      <x:c r="B3" s="15" t="n">
        <x:f>$B$4/2+0.5</x:f>
        <x:v>15.5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</x:row>
    <x:row r="4" ht="15.75" customHeight="1">
      <x:c r="A4" s="14" t="s">
        <x:v>2</x:v>
      </x:c>
      <x:c r="B4" s="16" t="n">
        <x:f>SUM($C$15:$C$22)+SUMIFS($C$28:$C$55,$B$28:$B$55,"&lt;&gt;MATCH SUBTOTAL")</x:f>
        <x:v>30</x:v>
      </x:c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</x:row>
    <x:row r="5" ht="15.75" customHeight="1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</x:row>
    <x:row r="6" ht="15.75" customHeight="1">
      <x:c r="A6" s="172" t="s">
        <x:v>3</x:v>
      </x:c>
      <x:c r="B6" s="172"/>
      <x:c r="C6" s="172"/>
      <x:c r="D6" s="172"/>
      <x:c r="E6" s="172"/>
      <x:c r="F6" s="172"/>
      <x:c r="G6" s="176" t="s">
        <x:v>4</x:v>
      </x:c>
      <x:c r="H6" s="176"/>
      <x:c r="I6" s="173" t="s">
        <x:v>5</x:v>
      </x:c>
      <x:c r="J6" s="173"/>
      <x:c r="K6" s="173"/>
      <x:c r="L6" s="173"/>
      <x:c r="M6" s="173"/>
      <x:c r="N6" s="173"/>
    </x:row>
    <x:row r="7">
      <x:c r="A7" s="174" t="n">
        <x:f>SUM($H$15:$H$22)+SUMIFS($L$28:$L$55,$B$28:$B$55,"&lt;&gt;MATCH SUBTOTAL")</x:f>
        <x:v>0</x:v>
      </x:c>
      <x:c r="B7" s="174"/>
      <x:c r="C7" s="174"/>
      <x:c r="D7" s="174"/>
      <x:c r="E7" s="174"/>
      <x:c r="F7" s="174"/>
      <x:c r="G7" s="177" t="str">
        <x:f>IF(A7&gt;=$B$3,"TEAM NAVY WINS",IF(I7&gt;$B$3,"TEAM RED WINS",IF(A7&gt;I7,"TEAM NAVY LEADS",IF(I7&gt;A7,"TEAM RED LEADS","MATCH TIED"))))</x:f>
        <x:v>MATCH TIED</x:v>
      </x:c>
      <x:c r="H7" s="177"/>
      <x:c r="I7" s="175" t="n">
        <x:f>SUM($G$15:$G$22)+SUMIFS($K$28:$K$55,$B$28:$B$55,"&lt;&gt;MATCH SUBTOTAL")</x:f>
        <x:v>0</x:v>
      </x:c>
      <x:c r="J7" s="175"/>
      <x:c r="K7" s="175"/>
      <x:c r="L7" s="175"/>
      <x:c r="M7" s="175"/>
      <x:c r="N7" s="175"/>
    </x:row>
    <x:row r="8">
      <x:c r="A8" s="174"/>
      <x:c r="B8" s="174"/>
      <x:c r="C8" s="174"/>
      <x:c r="D8" s="174"/>
      <x:c r="E8" s="174"/>
      <x:c r="F8" s="174"/>
      <x:c r="G8" s="177"/>
      <x:c r="H8" s="177"/>
      <x:c r="I8" s="175"/>
      <x:c r="J8" s="175"/>
      <x:c r="K8" s="175"/>
      <x:c r="L8" s="175"/>
      <x:c r="M8" s="175"/>
      <x:c r="N8" s="175"/>
    </x:row>
    <x:row r="9" ht="13.5">
      <x:c r="A9" s="174"/>
      <x:c r="B9" s="174"/>
      <x:c r="C9" s="174"/>
      <x:c r="D9" s="174"/>
      <x:c r="E9" s="174"/>
      <x:c r="F9" s="174"/>
      <x:c r="G9" s="178" t="str">
        <x:f>"Points remaining: "&amp;TEXT(MAX(0,$B$4-A7-I7),"0.0")</x:f>
        <x:v>Points remaining: 30.0</x:v>
      </x:c>
      <x:c r="H9" s="178"/>
      <x:c r="I9" s="175"/>
      <x:c r="J9" s="175"/>
      <x:c r="K9" s="175"/>
      <x:c r="L9" s="175"/>
      <x:c r="M9" s="175"/>
      <x:c r="N9" s="175"/>
    </x:row>
    <x:row r="10" ht="20.25" customHeight="1">
      <x:c r="A10" s="88" t="str">
        <x:f>"Need "&amp;TEXT(MAX(0,$B$3-A7),"0.0")&amp;" more points to win"</x:f>
        <x:v>Need 15.5 more points to win</x:v>
      </x:c>
      <x:c r="B10" s="89"/>
      <x:c r="C10" s="89"/>
      <x:c r="D10" s="90"/>
      <x:c r="E10" s="89"/>
      <x:c r="F10" s="89"/>
      <x:c r="G10" s="89"/>
      <x:c r="H10" s="91"/>
      <x:c r="I10" s="91" t="str">
        <x:f>"Need "&amp;TEXT(MAX(0,$B$3-I7),"0.0")&amp;" more points to win"</x:f>
        <x:v>Need 15.5 more points to win</x:v>
      </x:c>
      <x:c r="J10" s="91"/>
      <x:c r="K10" s="91"/>
      <x:c r="L10" s="91"/>
      <x:c r="M10" s="91"/>
      <x:c r="N10" s="91"/>
    </x:row>
    <x:row r="13" ht="32.099998474121094" customHeight="1">
      <x:c r="A13" s="163" t="s">
        <x:v>6</x:v>
      </x:c>
      <x:c r="B13" s="163"/>
      <x:c r="C13" s="163"/>
      <x:c r="D13" s="163"/>
      <x:c r="E13" s="163"/>
      <x:c r="F13" s="163"/>
      <x:c r="G13" s="163"/>
      <x:c r="H13" s="163"/>
      <x:c r="I13" s="163"/>
    </x:row>
    <x:row r="14" ht="20.100000381469727" customHeight="1">
      <x:c r="A14" s="17" t="s">
        <x:v>7</x:v>
      </x:c>
      <x:c r="B14" s="17" t="s">
        <x:v>8</x:v>
      </x:c>
      <x:c r="C14" s="17" t="s">
        <x:v>9</x:v>
      </x:c>
      <x:c r="D14" s="17" t="s">
        <x:v>10</x:v>
      </x:c>
      <x:c r="E14" s="17" t="s">
        <x:v>11</x:v>
      </x:c>
      <x:c r="F14" s="17" t="s">
        <x:v>12</x:v>
      </x:c>
      <x:c r="G14" s="17" t="s">
        <x:v>13</x:v>
      </x:c>
      <x:c r="H14" s="17" t="s">
        <x:v>14</x:v>
      </x:c>
      <x:c r="I14" s="17" t="s">
        <x:v>15</x:v>
      </x:c>
    </x:row>
    <x:row r="15" ht="20.100000381469727" customHeight="1">
      <x:c r="A15" s="40" t="s">
        <x:v>16</x:v>
      </x:c>
      <x:c r="B15" s="40" t="s">
        <x:v>17</x:v>
      </x:c>
      <x:c r="C15" s="40">
        <x:v>1</x:v>
      </x:c>
      <x:c r="D15" s="85"/>
      <x:c r="E15" s="18"/>
      <x:c r="F15" s="80" t="str">
        <x:f t="shared" ref="F15:F22" si="0">IF(D15="","Not Started","Final")</x:f>
        <x:v>Not Started</x:v>
      </x:c>
      <x:c r="G15" s="92" t="n">
        <x:f t="shared" ref="G15:G22" si="1">IF(D15="Red",C15,IF(D15="Tied",C15/2,0))</x:f>
        <x:v>0</x:v>
      </x:c>
      <x:c r="H15" s="92" t="n">
        <x:f t="shared" ref="H15:H22" si="2">IF(D15="Navy",C15,IF(D15="Tied",C15/2,0))</x:f>
        <x:v>0</x:v>
      </x:c>
      <x:c r="I15" s="21" t="s">
        <x:v>18</x:v>
      </x:c>
    </x:row>
    <x:row r="16" ht="20.100000381469727" customHeight="1">
      <x:c r="A16" s="40" t="s">
        <x:v>16</x:v>
      </x:c>
      <x:c r="B16" s="40" t="s">
        <x:v>19</x:v>
      </x:c>
      <x:c r="C16" s="40">
        <x:v>1</x:v>
      </x:c>
      <x:c r="D16" s="85"/>
      <x:c r="E16" s="18"/>
      <x:c r="F16" s="80" t="str">
        <x:f t="shared" si="0"/>
        <x:v>Not Started</x:v>
      </x:c>
      <x:c r="G16" s="92">
        <x:f t="shared" si="1"/>
        <x:v>0</x:v>
      </x:c>
      <x:c r="H16" s="92">
        <x:f t="shared" si="2"/>
        <x:v>0</x:v>
      </x:c>
      <x:c r="I16" s="21" t="s">
        <x:v>20</x:v>
      </x:c>
    </x:row>
    <x:row r="17" ht="20.100000381469727" customHeight="1">
      <x:c r="A17" s="84" t="s">
        <x:v>16</x:v>
      </x:c>
      <x:c r="B17" s="84" t="s">
        <x:v>21</x:v>
      </x:c>
      <x:c r="C17" s="84">
        <x:v>1</x:v>
      </x:c>
      <x:c r="D17" s="86"/>
      <x:c r="E17" s="81"/>
      <x:c r="F17" s="81" t="str">
        <x:f t="shared" si="0"/>
        <x:v>Not Started</x:v>
      </x:c>
      <x:c r="G17" s="82">
        <x:f t="shared" si="1"/>
        <x:v>0</x:v>
      </x:c>
      <x:c r="H17" s="82">
        <x:f t="shared" si="2"/>
        <x:v>0</x:v>
      </x:c>
      <x:c r="I17" s="83" t="s">
        <x:v>22</x:v>
      </x:c>
    </x:row>
    <x:row r="18" ht="20.100000381469727" customHeight="1">
      <x:c r="A18" s="84" t="s">
        <x:v>23</x:v>
      </x:c>
      <x:c r="B18" s="84" t="s">
        <x:v>24</x:v>
      </x:c>
      <x:c r="C18" s="84">
        <x:v>1</x:v>
      </x:c>
      <x:c r="D18" s="87"/>
      <x:c r="E18" s="81"/>
      <x:c r="F18" s="81" t="str">
        <x:f t="shared" si="0"/>
        <x:v>Not Started</x:v>
      </x:c>
      <x:c r="G18" s="82">
        <x:f t="shared" si="1"/>
        <x:v>0</x:v>
      </x:c>
      <x:c r="H18" s="82">
        <x:f t="shared" si="2"/>
        <x:v>0</x:v>
      </x:c>
      <x:c r="I18" s="83" t="s">
        <x:v>25</x:v>
      </x:c>
    </x:row>
    <x:row r="19" ht="20.100000381469727" customHeight="1">
      <x:c r="A19" s="84" t="s">
        <x:v>26</x:v>
      </x:c>
      <x:c r="B19" s="84" t="s">
        <x:v>24</x:v>
      </x:c>
      <x:c r="C19" s="84">
        <x:v>1</x:v>
      </x:c>
      <x:c r="D19" s="87"/>
      <x:c r="E19" s="81"/>
      <x:c r="F19" s="81" t="str">
        <x:f t="shared" si="0"/>
        <x:v>Not Started</x:v>
      </x:c>
      <x:c r="G19" s="82">
        <x:f t="shared" si="1"/>
        <x:v>0</x:v>
      </x:c>
      <x:c r="H19" s="82">
        <x:f t="shared" si="2"/>
        <x:v>0</x:v>
      </x:c>
      <x:c r="I19" s="83" t="s">
        <x:v>27</x:v>
      </x:c>
    </x:row>
    <x:row r="20" ht="20.100000381469727" customHeight="1">
      <x:c r="A20" s="84" t="s">
        <x:v>28</x:v>
      </x:c>
      <x:c r="B20" s="84" t="s">
        <x:v>24</x:v>
      </x:c>
      <x:c r="C20" s="84">
        <x:v>1</x:v>
      </x:c>
      <x:c r="D20" s="87"/>
      <x:c r="E20" s="81"/>
      <x:c r="F20" s="81" t="str">
        <x:f t="shared" si="0"/>
        <x:v>Not Started</x:v>
      </x:c>
      <x:c r="G20" s="82">
        <x:f t="shared" si="1"/>
        <x:v>0</x:v>
      </x:c>
      <x:c r="H20" s="82">
        <x:f t="shared" si="2"/>
        <x:v>0</x:v>
      </x:c>
      <x:c r="I20" s="83" t="s">
        <x:v>29</x:v>
      </x:c>
    </x:row>
    <x:row r="21" ht="20.100000381469727" customHeight="1">
      <x:c r="A21" s="84" t="s">
        <x:v>30</x:v>
      </x:c>
      <x:c r="B21" s="84" t="s">
        <x:v>24</x:v>
      </x:c>
      <x:c r="C21" s="84">
        <x:v>1</x:v>
      </x:c>
      <x:c r="D21" s="87"/>
      <x:c r="E21" s="81"/>
      <x:c r="F21" s="81" t="str">
        <x:f t="shared" si="0"/>
        <x:v>Not Started</x:v>
      </x:c>
      <x:c r="G21" s="82">
        <x:f t="shared" si="1"/>
        <x:v>0</x:v>
      </x:c>
      <x:c r="H21" s="82">
        <x:f t="shared" si="2"/>
        <x:v>0</x:v>
      </x:c>
      <x:c r="I21" s="83" t="s">
        <x:v>31</x:v>
      </x:c>
    </x:row>
    <x:row r="22" ht="20.100000381469727" customHeight="1">
      <x:c r="A22" s="84" t="s">
        <x:v>32</x:v>
      </x:c>
      <x:c r="B22" s="84" t="s">
        <x:v>24</x:v>
      </x:c>
      <x:c r="C22" s="84">
        <x:v>1</x:v>
      </x:c>
      <x:c r="D22" s="87"/>
      <x:c r="E22" s="81"/>
      <x:c r="F22" s="81" t="str">
        <x:f t="shared" si="0"/>
        <x:v>Not Started</x:v>
      </x:c>
      <x:c r="G22" s="82">
        <x:f t="shared" si="1"/>
        <x:v>0</x:v>
      </x:c>
      <x:c r="H22" s="82">
        <x:f t="shared" si="2"/>
        <x:v>0</x:v>
      </x:c>
      <x:c r="I22" s="83" t="s">
        <x:v>33</x:v>
      </x:c>
    </x:row>
    <x:row r="23" ht="20.100000381469727" customHeight="1">
      <x:c r="A23" s="22"/>
      <x:c r="B23" s="22"/>
      <x:c r="C23" s="21"/>
      <x:c r="D23" s="22"/>
      <x:c r="E23" s="22"/>
      <x:c r="F23" s="22"/>
      <x:c r="G23" s="22"/>
      <x:c r="H23" s="22"/>
      <x:c r="I23" s="21"/>
      <x:c r="J23" s="22"/>
      <x:c r="K23" s="21"/>
      <x:c r="L23" s="31"/>
      <x:c r="M23" s="31"/>
      <x:c r="N23" s="22"/>
    </x:row>
    <x:row r="24" ht="20.100000381469727" customHeight="1">
      <x:c r="A24" s="18"/>
      <x:c r="B24" s="19"/>
      <x:c r="C24" s="20"/>
      <x:c r="D24" s="18"/>
      <x:c r="E24" s="18"/>
      <x:c r="F24" s="18"/>
      <x:c r="G24" s="18"/>
      <x:c r="H24" s="18"/>
      <x:c r="I24" s="21"/>
      <x:c r="J24" s="18"/>
      <x:c r="K24" s="20"/>
      <x:c r="L24" s="33"/>
      <x:c r="M24" s="33"/>
      <x:c r="N24" s="18"/>
    </x:row>
    <x:row r="25" ht="20.100000381469727" customHeight="1">
      <x:c r="A25" s="164" t="s">
        <x:v>34</x:v>
      </x:c>
      <x:c r="B25" s="165"/>
      <x:c r="C25" s="164"/>
      <x:c r="D25" s="164"/>
      <x:c r="E25" s="164"/>
      <x:c r="F25" s="164"/>
      <x:c r="G25" s="164"/>
      <x:c r="H25" s="164"/>
      <x:c r="I25" s="164"/>
      <x:c r="J25" s="164"/>
      <x:c r="K25" s="164"/>
      <x:c r="L25" s="166"/>
      <x:c r="M25" s="166"/>
    </x:row>
    <x:row r="26" ht="20.100000381469727" customHeight="1">
      <x:c r="A26" s="70" t="s">
        <x:v>7</x:v>
      </x:c>
      <x:c r="B26" s="71" t="s">
        <x:v>8</x:v>
      </x:c>
      <x:c r="C26" s="70" t="s">
        <x:v>9</x:v>
      </x:c>
      <x:c r="D26" s="70" t="s">
        <x:v>35</x:v>
      </x:c>
      <x:c r="E26" s="70" t="s">
        <x:v>36</x:v>
      </x:c>
      <x:c r="F26" s="70" t="s">
        <x:v>37</x:v>
      </x:c>
      <x:c r="G26" s="70" t="s">
        <x:v>38</x:v>
      </x:c>
      <x:c r="H26" s="78" t="s">
        <x:v>10</x:v>
      </x:c>
      <x:c r="I26" s="70" t="s">
        <x:v>11</x:v>
      </x:c>
      <x:c r="J26" s="70" t="s">
        <x:v>12</x:v>
      </x:c>
      <x:c r="K26" s="70" t="s">
        <x:v>13</x:v>
      </x:c>
      <x:c r="L26" s="72" t="s">
        <x:v>14</x:v>
      </x:c>
      <x:c r="M26" s="72" t="s">
        <x:v>15</x:v>
      </x:c>
    </x:row>
    <x:row r="27" ht="20.100000381469727" customHeight="1">
      <x:c r="A27" s="66" t="s">
        <x:v>39</x:v>
      </x:c>
      <x:c r="B27" s="66" t="s">
        <x:v>40</x:v>
      </x:c>
      <x:c r="C27" s="66">
        <x:v>3</x:v>
      </x:c>
      <x:c r="D27" s="67" t="s">
        <x:v>41</x:v>
      </x:c>
      <x:c r="E27" s="67" t="s">
        <x:v>42</x:v>
      </x:c>
      <x:c r="F27" s="68" t="s">
        <x:v>43</x:v>
      </x:c>
      <x:c r="G27" s="68" t="s">
        <x:v>44</x:v>
      </x:c>
      <x:c r="H27" s="77"/>
      <x:c r="I27" s="66"/>
      <x:c r="J27" s="66" t="str">
        <x:f>IF(COUNTA(H28:H30)=0,"Not Started",IF(COUNTA(H28:H30)&lt;3,"In Progress","Final"))</x:f>
        <x:v>Not Started</x:v>
      </x:c>
      <x:c r="K27" s="69" t="n">
        <x:f>SUM(K28:K30)</x:f>
        <x:v>0</x:v>
      </x:c>
      <x:c r="L27" s="69" t="n">
        <x:f>SUM(L28:L30)</x:f>
        <x:v>0</x:v>
      </x:c>
      <x:c r="M27" s="69" t="s">
        <x:v>45</x:v>
      </x:c>
    </x:row>
    <x:row r="28" ht="20.100000381469727" customHeight="1">
      <x:c r="A28" s="21"/>
      <x:c r="B28" s="40" t="s">
        <x:v>17</x:v>
      </x:c>
      <x:c r="C28" s="40">
        <x:v>1</x:v>
      </x:c>
      <x:c r="D28" s="55" t="str">
        <x:f>IF(D27="","",D27)</x:f>
        <x:v>Kevin Catliff</x:v>
      </x:c>
      <x:c r="E28" s="55" t="str">
        <x:f>IF(E27="","",E27)</x:f>
        <x:v>Sam Griffiths</x:v>
      </x:c>
      <x:c r="F28" s="56" t="str">
        <x:f>IF(F27="","",F27)</x:f>
        <x:v>JJ Meakings</x:v>
      </x:c>
      <x:c r="G28" s="56" t="str">
        <x:f>IF(G27="","",G27)</x:f>
        <x:v>Eric Bleim</x:v>
      </x:c>
      <x:c r="H28" s="73"/>
      <x:c r="I28" s="39"/>
      <x:c r="J28" s="39" t="str">
        <x:f>IF(H28="","Not Started","Final")</x:f>
        <x:v>Not Started</x:v>
      </x:c>
      <x:c r="K28" s="43" t="n">
        <x:f>IF(H28="Red",C28,IF(H28="Tied",C28/2,0))</x:f>
        <x:v>0</x:v>
      </x:c>
      <x:c r="L28" s="43" t="n">
        <x:f>IF(H28="Navy",C28,IF(H28="Tied",C28/2,0))</x:f>
        <x:v>0</x:v>
      </x:c>
      <x:c r="M28" s="43" t="s">
        <x:v>46</x:v>
      </x:c>
    </x:row>
    <x:row r="29" ht="20.100000381469727" customHeight="1">
      <x:c r="A29" s="21"/>
      <x:c r="B29" s="40" t="s">
        <x:v>19</x:v>
      </x:c>
      <x:c r="C29" s="40">
        <x:v>1</x:v>
      </x:c>
      <x:c r="D29" s="55" t="str">
        <x:f>IF(D27="","",D27)</x:f>
        <x:v>Kevin Catliff</x:v>
      </x:c>
      <x:c r="E29" s="55" t="str">
        <x:f>IF(E27="","",E27)</x:f>
        <x:v>Sam Griffiths</x:v>
      </x:c>
      <x:c r="F29" s="56" t="str">
        <x:f>IF(F27="","",F27)</x:f>
        <x:v>JJ Meakings</x:v>
      </x:c>
      <x:c r="G29" s="56" t="str">
        <x:f>IF(G27="","",G27)</x:f>
        <x:v>Eric Bleim</x:v>
      </x:c>
      <x:c r="H29" s="74"/>
      <x:c r="J29" s="39" t="str">
        <x:f>IF(H29="","Not Started","Final")</x:f>
        <x:v>Not Started</x:v>
      </x:c>
      <x:c r="K29" s="43" t="n">
        <x:f>IF(H29="Red",C29,IF(H29="Tied",C29/2,0))</x:f>
        <x:v>0</x:v>
      </x:c>
      <x:c r="L29" s="43" t="n">
        <x:f>IF(H29="Navy",C29,IF(H29="Tied",C29/2,0))</x:f>
        <x:v>0</x:v>
      </x:c>
      <x:c r="M29" s="43" t="s">
        <x:v>47</x:v>
      </x:c>
    </x:row>
    <x:row r="30" ht="20.100000381469727" customHeight="1">
      <x:c r="A30" s="42"/>
      <x:c r="B30" s="41" t="s">
        <x:v>21</x:v>
      </x:c>
      <x:c r="C30" s="41">
        <x:v>1</x:v>
      </x:c>
      <x:c r="D30" s="57" t="str">
        <x:f>IF(D27="","",D27)</x:f>
        <x:v>Kevin Catliff</x:v>
      </x:c>
      <x:c r="E30" s="57" t="str">
        <x:f>IF(E27="","",E27)</x:f>
        <x:v>Sam Griffiths</x:v>
      </x:c>
      <x:c r="F30" s="58" t="str">
        <x:f>IF(F27="","",F27)</x:f>
        <x:v>JJ Meakings</x:v>
      </x:c>
      <x:c r="G30" s="58" t="str">
        <x:f>IF(G27="","",G27)</x:f>
        <x:v>Eric Bleim</x:v>
      </x:c>
      <x:c r="H30" s="75"/>
      <x:c r="I30" s="47"/>
      <x:c r="J30" s="44" t="str">
        <x:f>IF(H30="","Not Started","Final")</x:f>
        <x:v>Not Started</x:v>
      </x:c>
      <x:c r="K30" s="45" t="n">
        <x:f>IF(H30="Red",C30,IF(H30="Tied",C30/2,0))</x:f>
        <x:v>0</x:v>
      </x:c>
      <x:c r="L30" s="45" t="n">
        <x:f>IF(H30="Navy",C30,IF(H30="Tied",C30/2,0))</x:f>
        <x:v>0</x:v>
      </x:c>
      <x:c r="M30" s="45" t="s">
        <x:v>48</x:v>
      </x:c>
    </x:row>
    <x:row r="31" ht="6" customHeight="1">
      <x:c r="A31" s="21"/>
      <x:c r="B31" s="40"/>
      <x:c r="C31" s="40"/>
      <x:c r="D31" s="53"/>
      <x:c r="E31" s="53"/>
      <x:c r="F31" s="53"/>
      <x:c r="G31" s="53"/>
      <x:c r="H31" s="79"/>
      <x:c r="I31" s="39"/>
      <x:c r="J31" s="39"/>
      <x:c r="K31" s="43"/>
      <x:c r="L31" s="43"/>
      <x:c r="M31" s="43"/>
    </x:row>
    <x:row r="32" ht="20.100000381469727" customHeight="1">
      <x:c r="A32" s="66" t="s">
        <x:v>49</x:v>
      </x:c>
      <x:c r="B32" s="66" t="s">
        <x:v>40</x:v>
      </x:c>
      <x:c r="C32" s="66">
        <x:v>3</x:v>
      </x:c>
      <x:c r="D32" s="67" t="s">
        <x:v>50</x:v>
      </x:c>
      <x:c r="E32" s="67" t="s">
        <x:v>51</x:v>
      </x:c>
      <x:c r="F32" s="68" t="s">
        <x:v>52</x:v>
      </x:c>
      <x:c r="G32" s="68" t="s">
        <x:v>53</x:v>
      </x:c>
      <x:c r="H32" s="77"/>
      <x:c r="I32" s="66"/>
      <x:c r="J32" s="66" t="str">
        <x:f>IF(COUNTA(H33:H35)=0,"Not Started",IF(COUNTA(H33:H35)&lt;3,"In Progress","Final"))</x:f>
        <x:v>Not Started</x:v>
      </x:c>
      <x:c r="K32" s="69" t="n">
        <x:f>SUM(K33:K35)</x:f>
        <x:v>0</x:v>
      </x:c>
      <x:c r="L32" s="69" t="n">
        <x:f>SUM(L33:L35)</x:f>
        <x:v>0</x:v>
      </x:c>
      <x:c r="M32" s="69" t="s">
        <x:v>54</x:v>
      </x:c>
    </x:row>
    <x:row r="33" ht="20.100000381469727" customHeight="1">
      <x:c r="A33" s="20"/>
      <x:c r="B33" s="64" t="s">
        <x:v>17</x:v>
      </x:c>
      <x:c r="C33" s="40">
        <x:v>1</x:v>
      </x:c>
      <x:c r="D33" s="55" t="str">
        <x:f>IF(D32="","",D32)</x:f>
        <x:v>Sean Bromley</x:v>
      </x:c>
      <x:c r="E33" s="55" t="str">
        <x:f>IF(E32="","",E32)</x:f>
        <x:v>Dylan Bradley</x:v>
      </x:c>
      <x:c r="F33" s="56" t="str">
        <x:f>IF(F32="","",F32)</x:f>
        <x:v>Steven Wells</x:v>
      </x:c>
      <x:c r="G33" s="56" t="str">
        <x:f>IF(G32="","",G32)</x:f>
        <x:v>George Collister</x:v>
      </x:c>
      <x:c r="H33" s="73"/>
      <x:c r="J33" s="39" t="str">
        <x:f>IF(H33="","Not Started","Final")</x:f>
        <x:v>Not Started</x:v>
      </x:c>
      <x:c r="K33" s="43" t="n">
        <x:f>IF(H33="Red",C33,IF(H33="Tied",C33/2,0))</x:f>
        <x:v>0</x:v>
      </x:c>
      <x:c r="L33" s="43" t="n">
        <x:f>IF(H33="Navy",C33,IF(H33="Tied",C33/2,0))</x:f>
        <x:v>0</x:v>
      </x:c>
      <x:c r="M33" s="43" t="s">
        <x:v>55</x:v>
      </x:c>
    </x:row>
    <x:row r="34" ht="20.100000381469727" customHeight="1">
      <x:c r="A34" s="20"/>
      <x:c r="B34" s="64" t="s">
        <x:v>19</x:v>
      </x:c>
      <x:c r="C34" s="40">
        <x:v>1</x:v>
      </x:c>
      <x:c r="D34" s="55" t="str">
        <x:f>IF(D32="","",D32)</x:f>
        <x:v>Sean Bromley</x:v>
      </x:c>
      <x:c r="E34" s="55" t="str">
        <x:f>IF(E32="","",E32)</x:f>
        <x:v>Dylan Bradley</x:v>
      </x:c>
      <x:c r="F34" s="56" t="str">
        <x:f>IF(F32="","",F32)</x:f>
        <x:v>Steven Wells</x:v>
      </x:c>
      <x:c r="G34" s="56" t="str">
        <x:f>IF(G32="","",G32)</x:f>
        <x:v>George Collister</x:v>
      </x:c>
      <x:c r="H34" s="74"/>
      <x:c r="J34" s="39" t="str">
        <x:f>IF(H34="","Not Started","Final")</x:f>
        <x:v>Not Started</x:v>
      </x:c>
      <x:c r="K34" s="43" t="n">
        <x:f>IF(H34="Red",C34,IF(H34="Tied",C34/2,0))</x:f>
        <x:v>0</x:v>
      </x:c>
      <x:c r="L34" s="43" t="n">
        <x:f>IF(H34="Navy",C34,IF(H34="Tied",C34/2,0))</x:f>
        <x:v>0</x:v>
      </x:c>
      <x:c r="M34" s="43" t="s">
        <x:v>56</x:v>
      </x:c>
    </x:row>
    <x:row r="35" ht="20.100000381469727" customHeight="1">
      <x:c r="A35" s="42"/>
      <x:c r="B35" s="41" t="s">
        <x:v>21</x:v>
      </x:c>
      <x:c r="C35" s="41">
        <x:v>1</x:v>
      </x:c>
      <x:c r="D35" s="57" t="str">
        <x:f>IF(D32="","",D32)</x:f>
        <x:v>Sean Bromley</x:v>
      </x:c>
      <x:c r="E35" s="57" t="str">
        <x:f>IF(E32="","",E32)</x:f>
        <x:v>Dylan Bradley</x:v>
      </x:c>
      <x:c r="F35" s="58" t="str">
        <x:f>IF(F32="","",F32)</x:f>
        <x:v>Steven Wells</x:v>
      </x:c>
      <x:c r="G35" s="58" t="str">
        <x:f>IF(G32="","",G32)</x:f>
        <x:v>George Collister</x:v>
      </x:c>
      <x:c r="H35" s="75"/>
      <x:c r="I35" s="47"/>
      <x:c r="J35" s="44" t="str">
        <x:f>IF(H35="","Not Started","Final")</x:f>
        <x:v>Not Started</x:v>
      </x:c>
      <x:c r="K35" s="45" t="n">
        <x:f>IF(H35="Red",C35,IF(H35="Tied",C35/2,0))</x:f>
        <x:v>0</x:v>
      </x:c>
      <x:c r="L35" s="45" t="n">
        <x:f>IF(H35="Navy",C35,IF(H35="Tied",C35/2,0))</x:f>
        <x:v>0</x:v>
      </x:c>
      <x:c r="M35" s="45" t="s">
        <x:v>57</x:v>
      </x:c>
    </x:row>
    <x:row r="36" ht="6" customHeight="1">
      <x:c r="A36" s="21"/>
      <x:c r="B36" s="40"/>
      <x:c r="C36" s="40"/>
      <x:c r="D36" s="53"/>
      <x:c r="E36" s="53"/>
      <x:c r="F36" s="53"/>
      <x:c r="G36" s="53"/>
      <x:c r="H36" s="79"/>
      <x:c r="I36" s="39"/>
      <x:c r="J36" s="39"/>
      <x:c r="K36" s="43"/>
      <x:c r="L36" s="43"/>
      <x:c r="M36" s="43"/>
    </x:row>
    <x:row r="37" ht="20.100000381469727" customHeight="1">
      <x:c r="A37" s="66" t="s">
        <x:v>58</x:v>
      </x:c>
      <x:c r="B37" s="66" t="s">
        <x:v>40</x:v>
      </x:c>
      <x:c r="C37" s="66">
        <x:v>6</x:v>
      </x:c>
      <x:c r="D37" s="67" t="s">
        <x:v>42</x:v>
      </x:c>
      <x:c r="E37" s="66"/>
      <x:c r="F37" s="68" t="s">
        <x:v>43</x:v>
      </x:c>
      <x:c r="G37" s="66"/>
      <x:c r="H37" s="77"/>
      <x:c r="I37" s="66"/>
      <x:c r="J37" s="66" t="str">
        <x:f>IF(COUNTA(H38:H40)=0,"Not Started",IF(COUNTA(H38:H40)&lt;3,"In Progress","Final"))</x:f>
        <x:v>Not Started</x:v>
      </x:c>
      <x:c r="K37" s="69" t="n">
        <x:f>SUM(K38:K40)</x:f>
        <x:v>0</x:v>
      </x:c>
      <x:c r="L37" s="69" t="n">
        <x:f>SUM(L38:L40)</x:f>
        <x:v>0</x:v>
      </x:c>
      <x:c r="M37" s="69" t="s">
        <x:v>59</x:v>
      </x:c>
    </x:row>
    <x:row r="38" ht="20.100000381469727" customHeight="1">
      <x:c r="A38" s="20"/>
      <x:c r="B38" s="64" t="s">
        <x:v>17</x:v>
      </x:c>
      <x:c r="C38" s="40">
        <x:v>1</x:v>
      </x:c>
      <x:c r="D38" s="55" t="str">
        <x:f>IF(D37="","",D37)</x:f>
        <x:v>Sam Griffiths</x:v>
      </x:c>
      <x:c r="E38" s="59"/>
      <x:c r="F38" s="56" t="str">
        <x:f>IF(F37="","",F37)</x:f>
        <x:v>JJ Meakings</x:v>
      </x:c>
      <x:c r="G38" s="59"/>
      <x:c r="H38" s="73"/>
      <x:c r="J38" s="39" t="str">
        <x:f>IF(H38="","Not Started","Final")</x:f>
        <x:v>Not Started</x:v>
      </x:c>
      <x:c r="K38" s="43" t="n">
        <x:f>IF(H38="Red",C38,IF(H38="Tied",C38/2,0))</x:f>
        <x:v>0</x:v>
      </x:c>
      <x:c r="L38" s="43" t="n">
        <x:f>IF(H38="Navy",C38,IF(H38="Tied",C38/2,0))</x:f>
        <x:v>0</x:v>
      </x:c>
      <x:c r="M38" s="43" t="s">
        <x:v>60</x:v>
      </x:c>
    </x:row>
    <x:row r="39" ht="20.100000381469727" customHeight="1">
      <x:c r="A39" s="20"/>
      <x:c r="B39" s="64" t="s">
        <x:v>19</x:v>
      </x:c>
      <x:c r="C39" s="40">
        <x:v>1</x:v>
      </x:c>
      <x:c r="D39" s="55" t="str">
        <x:f>IF(D37="","",D37)</x:f>
        <x:v>Sam Griffiths</x:v>
      </x:c>
      <x:c r="E39" s="59"/>
      <x:c r="F39" s="56" t="str">
        <x:f>IF(F37="","",F37)</x:f>
        <x:v>JJ Meakings</x:v>
      </x:c>
      <x:c r="G39" s="59"/>
      <x:c r="H39" s="74"/>
      <x:c r="J39" s="39" t="str">
        <x:f>IF(H39="","Not Started","Final")</x:f>
        <x:v>Not Started</x:v>
      </x:c>
      <x:c r="K39" s="43" t="n">
        <x:f>IF(H39="Red",C39,IF(H39="Tied",C39/2,0))</x:f>
        <x:v>0</x:v>
      </x:c>
      <x:c r="L39" s="43" t="n">
        <x:f>IF(H39="Navy",C39,IF(H39="Tied",C39/2,0))</x:f>
        <x:v>0</x:v>
      </x:c>
      <x:c r="M39" s="43" t="s">
        <x:v>61</x:v>
      </x:c>
    </x:row>
    <x:row r="40" ht="20.100000381469727" customHeight="1">
      <x:c r="A40" s="42"/>
      <x:c r="B40" s="41" t="s">
        <x:v>21</x:v>
      </x:c>
      <x:c r="C40" s="41">
        <x:v>2</x:v>
      </x:c>
      <x:c r="D40" s="57" t="str">
        <x:f>IF(D37="","",D37)</x:f>
        <x:v>Sam Griffiths</x:v>
      </x:c>
      <x:c r="E40" s="60"/>
      <x:c r="F40" s="58" t="str">
        <x:f>IF(F37="","",F37)</x:f>
        <x:v>JJ Meakings</x:v>
      </x:c>
      <x:c r="G40" s="60"/>
      <x:c r="H40" s="75"/>
      <x:c r="I40" s="47"/>
      <x:c r="J40" s="44" t="str">
        <x:f>IF(H40="","Not Started","Final")</x:f>
        <x:v>Not Started</x:v>
      </x:c>
      <x:c r="K40" s="45" t="n">
        <x:f>IF(H40="Red",C40,IF(H40="Tied",C40/2,0))</x:f>
        <x:v>0</x:v>
      </x:c>
      <x:c r="L40" s="45" t="n">
        <x:f>IF(H40="Navy",C40,IF(H40="Tied",C40/2,0))</x:f>
        <x:v>0</x:v>
      </x:c>
      <x:c r="M40" s="45" t="s">
        <x:v>62</x:v>
      </x:c>
    </x:row>
    <x:row r="41" ht="6" customHeight="1">
      <x:c r="A41" s="21"/>
      <x:c r="B41" s="40"/>
      <x:c r="C41" s="40"/>
      <x:c r="D41" s="53"/>
      <x:c r="E41" s="59"/>
      <x:c r="F41" s="53"/>
      <x:c r="G41" s="59"/>
      <x:c r="H41" s="79"/>
      <x:c r="I41" s="39"/>
      <x:c r="J41" s="39"/>
      <x:c r="K41" s="43"/>
      <x:c r="L41" s="43"/>
      <x:c r="M41" s="43"/>
    </x:row>
    <x:row r="42" ht="20.100000381469727" customHeight="1">
      <x:c r="A42" s="66" t="s">
        <x:v>63</x:v>
      </x:c>
      <x:c r="B42" s="66" t="s">
        <x:v>40</x:v>
      </x:c>
      <x:c r="C42" s="66">
        <x:v>6</x:v>
      </x:c>
      <x:c r="D42" s="67" t="s">
        <x:v>41</x:v>
      </x:c>
      <x:c r="E42" s="66"/>
      <x:c r="F42" s="68" t="s">
        <x:v>52</x:v>
      </x:c>
      <x:c r="G42" s="66"/>
      <x:c r="H42" s="77"/>
      <x:c r="I42" s="66"/>
      <x:c r="J42" s="66" t="str">
        <x:f>IF(COUNTA(H43:H45)=0,"Not Started",IF(COUNTA(H43:H45)&lt;3,"In Progress","Final"))</x:f>
        <x:v>Not Started</x:v>
      </x:c>
      <x:c r="K42" s="69" t="n">
        <x:f>SUM(K43:K45)</x:f>
        <x:v>0</x:v>
      </x:c>
      <x:c r="L42" s="69" t="n">
        <x:f>SUM(L43:L45)</x:f>
        <x:v>0</x:v>
      </x:c>
      <x:c r="M42" s="69" t="s">
        <x:v>64</x:v>
      </x:c>
    </x:row>
    <x:row r="43" ht="20.100000381469727" customHeight="1">
      <x:c r="A43" s="20"/>
      <x:c r="B43" s="64" t="s">
        <x:v>17</x:v>
      </x:c>
      <x:c r="C43" s="40">
        <x:v>1</x:v>
      </x:c>
      <x:c r="D43" s="55" t="str">
        <x:f>IF(D42="","",D42)</x:f>
        <x:v>Kevin Catliff</x:v>
      </x:c>
      <x:c r="E43" s="59"/>
      <x:c r="F43" s="56" t="str">
        <x:f>IF(F42="","",F42)</x:f>
        <x:v>Steven Wells</x:v>
      </x:c>
      <x:c r="G43" s="59"/>
      <x:c r="H43" s="73"/>
      <x:c r="J43" s="39" t="str">
        <x:f>IF(H43="","Not Started","Final")</x:f>
        <x:v>Not Started</x:v>
      </x:c>
      <x:c r="K43" s="43" t="n">
        <x:f>IF(H43="Red",C43,IF(H43="Tied",C43/2,0))</x:f>
        <x:v>0</x:v>
      </x:c>
      <x:c r="L43" s="43" t="n">
        <x:f>IF(H43="Navy",C43,IF(H43="Tied",C43/2,0))</x:f>
        <x:v>0</x:v>
      </x:c>
      <x:c r="M43" s="43" t="s">
        <x:v>65</x:v>
      </x:c>
    </x:row>
    <x:row r="44" ht="20.100000381469727" customHeight="1">
      <x:c r="A44" s="20"/>
      <x:c r="B44" s="64" t="s">
        <x:v>19</x:v>
      </x:c>
      <x:c r="C44" s="40">
        <x:v>1</x:v>
      </x:c>
      <x:c r="D44" s="55" t="str">
        <x:f>IF(D42="","",D42)</x:f>
        <x:v>Kevin Catliff</x:v>
      </x:c>
      <x:c r="E44" s="59"/>
      <x:c r="F44" s="56" t="str">
        <x:f>IF(F42="","",F42)</x:f>
        <x:v>Steven Wells</x:v>
      </x:c>
      <x:c r="G44" s="59"/>
      <x:c r="H44" s="74"/>
      <x:c r="J44" s="39" t="str">
        <x:f>IF(H44="","Not Started","Final")</x:f>
        <x:v>Not Started</x:v>
      </x:c>
      <x:c r="K44" s="43" t="n">
        <x:f>IF(H44="Red",C44,IF(H44="Tied",C44/2,0))</x:f>
        <x:v>0</x:v>
      </x:c>
      <x:c r="L44" s="43" t="n">
        <x:f>IF(H44="Navy",C44,IF(H44="Tied",C44/2,0))</x:f>
        <x:v>0</x:v>
      </x:c>
      <x:c r="M44" s="43" t="s">
        <x:v>66</x:v>
      </x:c>
    </x:row>
    <x:row r="45" ht="20.100000381469727" customHeight="1">
      <x:c r="A45" s="42"/>
      <x:c r="B45" s="41" t="s">
        <x:v>21</x:v>
      </x:c>
      <x:c r="C45" s="41">
        <x:v>2</x:v>
      </x:c>
      <x:c r="D45" s="57" t="str">
        <x:f>IF(D42="","",D42)</x:f>
        <x:v>Kevin Catliff</x:v>
      </x:c>
      <x:c r="E45" s="60"/>
      <x:c r="F45" s="58" t="str">
        <x:f>IF(F42="","",F42)</x:f>
        <x:v>Steven Wells</x:v>
      </x:c>
      <x:c r="G45" s="60"/>
      <x:c r="H45" s="75"/>
      <x:c r="I45" s="47"/>
      <x:c r="J45" s="44" t="str">
        <x:f>IF(H45="","Not Started","Final")</x:f>
        <x:v>Not Started</x:v>
      </x:c>
      <x:c r="K45" s="45" t="n">
        <x:f>IF(H45="Red",C45,IF(H45="Tied",C45/2,0))</x:f>
        <x:v>0</x:v>
      </x:c>
      <x:c r="L45" s="45" t="n">
        <x:f>IF(H45="Navy",C45,IF(H45="Tied",C45/2,0))</x:f>
        <x:v>0</x:v>
      </x:c>
      <x:c r="M45" s="45" t="s">
        <x:v>67</x:v>
      </x:c>
    </x:row>
    <x:row r="46" ht="6" customHeight="1">
      <x:c r="A46" s="21"/>
      <x:c r="B46" s="40"/>
      <x:c r="C46" s="40"/>
      <x:c r="D46" s="53"/>
      <x:c r="E46" s="59"/>
      <x:c r="F46" s="53"/>
      <x:c r="G46" s="59"/>
      <x:c r="H46" s="79"/>
      <x:c r="I46" s="39"/>
      <x:c r="J46" s="39"/>
      <x:c r="K46" s="43"/>
      <x:c r="L46" s="43"/>
      <x:c r="M46" s="43"/>
    </x:row>
    <x:row r="47" ht="20.100000381469727" customHeight="1">
      <x:c r="A47" s="66" t="s">
        <x:v>68</x:v>
      </x:c>
      <x:c r="B47" s="66" t="s">
        <x:v>40</x:v>
      </x:c>
      <x:c r="C47" s="66">
        <x:v>6</x:v>
      </x:c>
      <x:c r="D47" s="67" t="s">
        <x:v>50</x:v>
      </x:c>
      <x:c r="E47" s="66"/>
      <x:c r="F47" s="68" t="s">
        <x:v>53</x:v>
      </x:c>
      <x:c r="G47" s="66"/>
      <x:c r="H47" s="77"/>
      <x:c r="I47" s="66"/>
      <x:c r="J47" s="66" t="str">
        <x:f>IF(COUNTA(H48:H50)=0,"Not Started",IF(COUNTA(H48:H50)&lt;3,"In Progress","Final"))</x:f>
        <x:v>Not Started</x:v>
      </x:c>
      <x:c r="K47" s="69" t="n">
        <x:f>SUM(K48:K50)</x:f>
        <x:v>0</x:v>
      </x:c>
      <x:c r="L47" s="69" t="n">
        <x:f>SUM(L48:L50)</x:f>
        <x:v>0</x:v>
      </x:c>
      <x:c r="M47" s="69" t="s">
        <x:v>69</x:v>
      </x:c>
    </x:row>
    <x:row r="48" ht="20.100000381469727" customHeight="1">
      <x:c r="A48" s="20"/>
      <x:c r="B48" s="64" t="s">
        <x:v>17</x:v>
      </x:c>
      <x:c r="C48" s="40">
        <x:v>1</x:v>
      </x:c>
      <x:c r="D48" s="55" t="str">
        <x:f>IF(D47="","",D47)</x:f>
        <x:v>Sean Bromley</x:v>
      </x:c>
      <x:c r="E48" s="59"/>
      <x:c r="F48" s="56" t="str">
        <x:f>IF(F47="","",F47)</x:f>
        <x:v>George Collister</x:v>
      </x:c>
      <x:c r="G48" s="59"/>
      <x:c r="H48" s="73"/>
      <x:c r="J48" s="39" t="str">
        <x:f>IF(H48="","Not Started","Final")</x:f>
        <x:v>Not Started</x:v>
      </x:c>
      <x:c r="K48" s="43" t="n">
        <x:f>IF(H48="Red",C48,IF(H48="Tied",C48/2,0))</x:f>
        <x:v>0</x:v>
      </x:c>
      <x:c r="L48" s="43" t="n">
        <x:f>IF(H48="Navy",C48,IF(H48="Tied",C48/2,0))</x:f>
        <x:v>0</x:v>
      </x:c>
      <x:c r="M48" s="43" t="s">
        <x:v>70</x:v>
      </x:c>
    </x:row>
    <x:row r="49" ht="20.100000381469727" customHeight="1">
      <x:c r="A49" s="20"/>
      <x:c r="B49" s="64" t="s">
        <x:v>19</x:v>
      </x:c>
      <x:c r="C49" s="40">
        <x:v>1</x:v>
      </x:c>
      <x:c r="D49" s="55" t="str">
        <x:f>IF(D47="","",D47)</x:f>
        <x:v>Sean Bromley</x:v>
      </x:c>
      <x:c r="E49" s="59"/>
      <x:c r="F49" s="56" t="str">
        <x:f>IF(F47="","",F47)</x:f>
        <x:v>George Collister</x:v>
      </x:c>
      <x:c r="G49" s="59"/>
      <x:c r="H49" s="74"/>
      <x:c r="J49" s="39" t="str">
        <x:f>IF(H49="","Not Started","Final")</x:f>
        <x:v>Not Started</x:v>
      </x:c>
      <x:c r="K49" s="43" t="n">
        <x:f>IF(H49="Red",C49,IF(H49="Tied",C49/2,0))</x:f>
        <x:v>0</x:v>
      </x:c>
      <x:c r="L49" s="43" t="n">
        <x:f>IF(H49="Navy",C49,IF(H49="Tied",C49/2,0))</x:f>
        <x:v>0</x:v>
      </x:c>
      <x:c r="M49" s="43" t="s">
        <x:v>71</x:v>
      </x:c>
    </x:row>
    <x:row r="50" ht="20.100000381469727" customHeight="1">
      <x:c r="A50" s="65"/>
      <x:c r="B50" s="41" t="s">
        <x:v>21</x:v>
      </x:c>
      <x:c r="C50" s="41">
        <x:v>2</x:v>
      </x:c>
      <x:c r="D50" s="57" t="str">
        <x:f>IF(D47="","",D47)</x:f>
        <x:v>Sean Bromley</x:v>
      </x:c>
      <x:c r="E50" s="60"/>
      <x:c r="F50" s="58" t="str">
        <x:f>IF(F47="","",F47)</x:f>
        <x:v>George Collister</x:v>
      </x:c>
      <x:c r="G50" s="60"/>
      <x:c r="H50" s="75"/>
      <x:c r="I50" s="47"/>
      <x:c r="J50" s="44" t="str">
        <x:f>IF(H50="","Not Started","Final")</x:f>
        <x:v>Not Started</x:v>
      </x:c>
      <x:c r="K50" s="45" t="n">
        <x:f>IF(H50="Red",C50,IF(H50="Tied",C50/2,0))</x:f>
        <x:v>0</x:v>
      </x:c>
      <x:c r="L50" s="45" t="n">
        <x:f>IF(H50="Navy",C50,IF(H50="Tied",C50/2,0))</x:f>
        <x:v>0</x:v>
      </x:c>
      <x:c r="M50" s="45" t="s">
        <x:v>72</x:v>
      </x:c>
    </x:row>
    <x:row r="51" ht="6" customHeight="1">
      <x:c r="A51" s="21"/>
      <x:c r="B51" s="40"/>
      <x:c r="C51" s="40"/>
      <x:c r="D51" s="53"/>
      <x:c r="E51" s="59"/>
      <x:c r="F51" s="53"/>
      <x:c r="G51" s="59"/>
      <x:c r="H51" s="79"/>
      <x:c r="I51" s="39"/>
      <x:c r="J51" s="39"/>
      <x:c r="K51" s="43"/>
      <x:c r="L51" s="43"/>
      <x:c r="M51" s="43"/>
    </x:row>
    <x:row r="52" ht="20.100000381469727" customHeight="1">
      <x:c r="A52" s="66" t="s">
        <x:v>73</x:v>
      </x:c>
      <x:c r="B52" s="66" t="s">
        <x:v>40</x:v>
      </x:c>
      <x:c r="C52" s="66">
        <x:v>6</x:v>
      </x:c>
      <x:c r="D52" s="67" t="s">
        <x:v>51</x:v>
      </x:c>
      <x:c r="E52" s="66"/>
      <x:c r="F52" s="68" t="s">
        <x:v>44</x:v>
      </x:c>
      <x:c r="G52" s="66"/>
      <x:c r="H52" s="77"/>
      <x:c r="I52" s="66"/>
      <x:c r="J52" s="66" t="str">
        <x:f>IF(COUNTA(H53:H55)=0,"Not Started",IF(COUNTA(H53:H55)&lt;3,"In Progress","Final"))</x:f>
        <x:v>Not Started</x:v>
      </x:c>
      <x:c r="K52" s="69" t="n">
        <x:f>SUM(K53:K55)</x:f>
        <x:v>0</x:v>
      </x:c>
      <x:c r="L52" s="69" t="n">
        <x:f>SUM(L53:L55)</x:f>
        <x:v>0</x:v>
      </x:c>
      <x:c r="M52" s="69" t="s">
        <x:v>74</x:v>
      </x:c>
    </x:row>
    <x:row r="53" ht="20.100000381469727" customHeight="1">
      <x:c r="A53" s="21"/>
      <x:c r="B53" s="64" t="s">
        <x:v>17</x:v>
      </x:c>
      <x:c r="C53" s="40">
        <x:v>1</x:v>
      </x:c>
      <x:c r="D53" s="55" t="str">
        <x:f>IF(D52="","",D52)</x:f>
        <x:v>Dylan Bradley</x:v>
      </x:c>
      <x:c r="E53" s="59"/>
      <x:c r="F53" s="56" t="str">
        <x:f>IF(F52="","",F52)</x:f>
        <x:v>Eric Bleim</x:v>
      </x:c>
      <x:c r="G53" s="59"/>
      <x:c r="H53" s="73"/>
      <x:c r="I53" s="38"/>
      <x:c r="J53" s="53" t="str">
        <x:f>IF(H53="","Not Started","Final")</x:f>
        <x:v>Not Started</x:v>
      </x:c>
      <x:c r="K53" s="46" t="n">
        <x:f>IF(H53="Red",C53,IF(H53="Tied",C53/2,0))</x:f>
        <x:v>0</x:v>
      </x:c>
      <x:c r="L53" s="46" t="n">
        <x:f>IF(H53="Navy",C53,IF(H53="Tied",C53/2,0))</x:f>
        <x:v>0</x:v>
      </x:c>
      <x:c r="M53" s="43" t="s">
        <x:v>75</x:v>
      </x:c>
    </x:row>
    <x:row r="54" ht="20.100000381469727" customHeight="1">
      <x:c r="A54" s="20"/>
      <x:c r="B54" s="64" t="s">
        <x:v>19</x:v>
      </x:c>
      <x:c r="C54" s="40">
        <x:v>1</x:v>
      </x:c>
      <x:c r="D54" s="55" t="str">
        <x:f>IF(D52="","",D52)</x:f>
        <x:v>Dylan Bradley</x:v>
      </x:c>
      <x:c r="E54" s="59"/>
      <x:c r="F54" s="56" t="str">
        <x:f>IF(F52="","",F52)</x:f>
        <x:v>Eric Bleim</x:v>
      </x:c>
      <x:c r="G54" s="59"/>
      <x:c r="H54" s="74"/>
      <x:c r="I54" s="38"/>
      <x:c r="J54" s="53" t="str">
        <x:f>IF(H54="","Not Started","Final")</x:f>
        <x:v>Not Started</x:v>
      </x:c>
      <x:c r="K54" s="46" t="n">
        <x:f>IF(H54="Red",C54,IF(H54="Tied",C54/2,0))</x:f>
        <x:v>0</x:v>
      </x:c>
      <x:c r="L54" s="46" t="n">
        <x:f>IF(H54="Navy",C54,IF(H54="Tied",C54/2,0))</x:f>
        <x:v>0</x:v>
      </x:c>
      <x:c r="M54" s="43" t="s">
        <x:v>76</x:v>
      </x:c>
    </x:row>
    <x:row r="55" ht="20.100000381469727" customHeight="1">
      <x:c r="A55" s="48"/>
      <x:c r="B55" s="49" t="s">
        <x:v>21</x:v>
      </x:c>
      <x:c r="C55" s="49">
        <x:v>2</x:v>
      </x:c>
      <x:c r="D55" s="61" t="str">
        <x:f>IF(D52="","",D52)</x:f>
        <x:v>Dylan Bradley</x:v>
      </x:c>
      <x:c r="E55" s="62"/>
      <x:c r="F55" s="63" t="str">
        <x:f>IF(F52="","",F52)</x:f>
        <x:v>Eric Bleim</x:v>
      </x:c>
      <x:c r="G55" s="62"/>
      <x:c r="H55" s="76"/>
      <x:c r="I55" s="50"/>
      <x:c r="J55" s="54" t="str">
        <x:f>IF(H55="","Not Started","Final")</x:f>
        <x:v>Not Started</x:v>
      </x:c>
      <x:c r="K55" s="51" t="n">
        <x:f>IF(H55="Red",C55,IF(H55="Tied",C55/2,0))</x:f>
        <x:v>0</x:v>
      </x:c>
      <x:c r="L55" s="51" t="n">
        <x:f>IF(H55="Navy",C55,IF(H55="Tied",C55/2,0))</x:f>
        <x:v>0</x:v>
      </x:c>
      <x:c r="M55" s="52" t="s">
        <x:v>77</x:v>
      </x:c>
    </x:row>
    <x:row r="56" ht="21.950000762939453" customHeight="1">
      <x:c r="A56" s="18"/>
      <x:c r="B56" s="18"/>
      <x:c r="C56" s="24"/>
      <x:c r="D56" s="24"/>
      <x:c r="E56" s="24"/>
      <x:c r="F56" s="24"/>
      <x:c r="G56" s="24"/>
      <x:c r="H56" s="34"/>
      <x:c r="I56" s="18"/>
      <x:c r="J56" s="32"/>
      <x:c r="K56" s="32"/>
      <x:c r="L56" s="32"/>
      <x:c r="M56" s="32"/>
      <x:c r="N56" s="32"/>
    </x:row>
    <x:row r="57" ht="21.950000762939453" customHeight="1">
      <x:c r="A57" s="18"/>
      <x:c r="B57" s="18"/>
      <x:c r="C57" s="24"/>
      <x:c r="D57" s="24"/>
      <x:c r="E57" s="24"/>
      <x:c r="F57" s="24"/>
      <x:c r="G57" s="24"/>
      <x:c r="H57" s="34"/>
      <x:c r="I57" s="18"/>
      <x:c r="J57" s="32"/>
      <x:c r="K57" s="32"/>
      <x:c r="L57" s="32"/>
      <x:c r="M57" s="32"/>
      <x:c r="N57" s="32"/>
    </x:row>
    <x:row r="58" ht="21.950000762939453" customHeight="1">
      <x:c r="A58" s="167" t="s">
        <x:v>78</x:v>
      </x:c>
      <x:c r="B58" s="167"/>
      <x:c r="C58" s="168"/>
      <x:c r="D58" s="168"/>
      <x:c r="E58" s="168"/>
      <x:c r="F58" s="168"/>
      <x:c r="G58" s="168"/>
      <x:c r="H58" s="169"/>
      <x:c r="I58" s="10"/>
      <x:c r="J58" s="170" t="s">
        <x:v>79</x:v>
      </x:c>
      <x:c r="K58" s="170"/>
      <x:c r="L58" s="170"/>
      <x:c r="M58" s="170"/>
      <x:c r="N58" s="170"/>
    </x:row>
    <x:row r="59" ht="21.950000762939453" customHeight="1">
      <x:c r="A59" s="12" t="s">
        <x:v>80</x:v>
      </x:c>
      <x:c r="B59" s="12" t="s">
        <x:v>81</x:v>
      </x:c>
      <x:c r="C59" s="27" t="s">
        <x:v>82</x:v>
      </x:c>
      <x:c r="D59" s="27" t="s">
        <x:v>83</x:v>
      </x:c>
      <x:c r="E59" s="27" t="s">
        <x:v>84</x:v>
      </x:c>
      <x:c r="F59" s="27" t="s">
        <x:v>85</x:v>
      </x:c>
      <x:c r="G59" s="27" t="s">
        <x:v>86</x:v>
      </x:c>
      <x:c r="H59" s="28" t="s">
        <x:v>87</x:v>
      </x:c>
      <x:c r="I59" s="10"/>
      <x:c r="J59" s="170"/>
      <x:c r="K59" s="170"/>
      <x:c r="L59" s="170"/>
      <x:c r="M59" s="170"/>
      <x:c r="N59" s="170"/>
    </x:row>
    <x:row r="60" ht="17.25" customHeight="1">
      <x:c r="A60" s="18" t="s">
        <x:v>42</x:v>
      </x:c>
      <x:c r="B60" s="26" t="s">
        <x:v>88</x:v>
      </x:c>
      <x:c r="C60" s="24" t="n">
        <x:f t="shared" ref="C60:C67" si="3">COUNTIF($D$15:$D$22,"&lt;&gt;")+SUMPRODUCT(--($H$28:$H$55&lt;&gt;""),--((($D$28:$D$55=$A60)+($E$28:$E$55=$A60)+($F$28:$F$55=$A60)+($G$28:$G$55=$A60))&gt;0))</x:f>
        <x:v>0</x:v>
      </x:c>
      <x:c r="D60" s="24" t="n">
        <x:f t="shared" ref="D60:D66" si="4">COUNTIF($D$15:$D$22,$B60)+SUMPRODUCT(--($H$28:$H$55=$B60),--((($D$28:$D$55=$A60)+($E$28:$E$55=$A60)+($F$28:$F$55=$A60)+($G$28:$G$55=$A60))&gt;0))</x:f>
        <x:v>0</x:v>
      </x:c>
      <x:c r="E60" s="24" t="n">
        <x:f t="shared" ref="E60:E67" si="5">COUNTIF($D$15:$D$22,IF($B60="Red","Navy","Red"))+SUMPRODUCT(--($H$28:$H$55=IF($B60="Red","Navy","Red")),--((($D$28:$D$55=$A60)+($E$28:$E$55=$A60)+($F$28:$F$55=$A60)+($G$28:$G$55=$A60))&gt;0))</x:f>
        <x:v>0</x:v>
      </x:c>
      <x:c r="F60" s="24" t="n">
        <x:f t="shared" ref="F60:F67" si="6">COUNTIF($D$15:$D$22,"Tied")+SUMPRODUCT(--($H$28:$H$55="Tied"),--((($D$28:$D$55=$A60)+($E$28:$E$55=$A60)+($F$28:$F$55=$A60)+($G$28:$G$55=$A60))&gt;0))</x:f>
        <x:v>0</x:v>
      </x:c>
      <x:c r="G60" s="24" t="n">
        <x:f>SUM($G$15:$G$22)+SUMPRODUCT($K$28:$K$55,--((($D$28:$D$55=$A60)+($E$28:$E$55=$A60)+($F$28:$F$55=$A60)+($G$28:$G$55=$A60))&gt;0))</x:f>
        <x:v>0</x:v>
      </x:c>
      <x:c r="H60" s="34" t="n">
        <x:f t="shared" ref="H60:H67" si="7">IF(C60=0,0,(D60+F60/2)/C60)</x:f>
        <x:v>0</x:v>
      </x:c>
      <x:c r="I60" s="10"/>
      <x:c r="J60" s="170"/>
      <x:c r="K60" s="170"/>
      <x:c r="L60" s="170"/>
      <x:c r="M60" s="170"/>
      <x:c r="N60" s="170"/>
    </x:row>
    <x:row r="61" ht="17.25" customHeight="1">
      <x:c r="A61" s="18" t="s">
        <x:v>41</x:v>
      </x:c>
      <x:c r="B61" s="26" t="s">
        <x:v>88</x:v>
      </x:c>
      <x:c r="C61" s="24">
        <x:f t="shared" si="3"/>
        <x:v>0</x:v>
      </x:c>
      <x:c r="D61" s="24">
        <x:f t="shared" si="4"/>
        <x:v>0</x:v>
      </x:c>
      <x:c r="E61" s="24">
        <x:f t="shared" si="5"/>
        <x:v>0</x:v>
      </x:c>
      <x:c r="F61" s="24">
        <x:f t="shared" si="6"/>
        <x:v>0</x:v>
      </x:c>
      <x:c r="G61" s="24" t="n">
        <x:f>SUM($G$15:$G$22)+SUMPRODUCT($K$28:$K$55,--((($D$28:$D$55=$A61)+($E$28:$E$55=$A61)+($F$28:$F$55=$A61)+($G$28:$G$55=$A61))&gt;0))</x:f>
        <x:v>0</x:v>
      </x:c>
      <x:c r="H61" s="34">
        <x:f t="shared" si="7"/>
        <x:v>0</x:v>
      </x:c>
      <x:c r="I61" s="10"/>
      <x:c r="J61" s="170"/>
      <x:c r="K61" s="170"/>
      <x:c r="L61" s="170"/>
      <x:c r="M61" s="170"/>
      <x:c r="N61" s="170"/>
    </x:row>
    <x:row r="62" ht="17.25" customHeight="1">
      <x:c r="A62" s="18" t="s">
        <x:v>50</x:v>
      </x:c>
      <x:c r="B62" s="26" t="s">
        <x:v>88</x:v>
      </x:c>
      <x:c r="C62" s="24">
        <x:f t="shared" si="3"/>
        <x:v>0</x:v>
      </x:c>
      <x:c r="D62" s="24">
        <x:f t="shared" si="4"/>
        <x:v>0</x:v>
      </x:c>
      <x:c r="E62" s="24">
        <x:f t="shared" si="5"/>
        <x:v>0</x:v>
      </x:c>
      <x:c r="F62" s="24">
        <x:f t="shared" si="6"/>
        <x:v>0</x:v>
      </x:c>
      <x:c r="G62" s="24" t="n">
        <x:f>SUM($G$15:$G$22)+SUMPRODUCT($K$28:$K$55,--((($D$28:$D$55=$A62)+($E$28:$E$55=$A62)+($F$28:$F$55=$A62)+($G$28:$G$55=$A62))&gt;0))</x:f>
        <x:v>0</x:v>
      </x:c>
      <x:c r="H62" s="34">
        <x:f t="shared" si="7"/>
        <x:v>0</x:v>
      </x:c>
      <x:c r="I62" s="10"/>
      <x:c r="J62" s="170"/>
      <x:c r="K62" s="170"/>
      <x:c r="L62" s="170"/>
      <x:c r="M62" s="170"/>
      <x:c r="N62" s="170"/>
    </x:row>
    <x:row r="63" ht="17.25" customHeight="1">
      <x:c r="A63" s="18" t="s">
        <x:v>51</x:v>
      </x:c>
      <x:c r="B63" s="26" t="s">
        <x:v>88</x:v>
      </x:c>
      <x:c r="C63" s="24">
        <x:f t="shared" si="3"/>
        <x:v>0</x:v>
      </x:c>
      <x:c r="D63" s="24">
        <x:f t="shared" si="4"/>
        <x:v>0</x:v>
      </x:c>
      <x:c r="E63" s="24">
        <x:f t="shared" si="5"/>
        <x:v>0</x:v>
      </x:c>
      <x:c r="F63" s="24">
        <x:f t="shared" si="6"/>
        <x:v>0</x:v>
      </x:c>
      <x:c r="G63" s="24" t="n">
        <x:f>SUM($G$15:$G$22)+SUMPRODUCT($K$28:$K$55,--((($D$28:$D$55=$A63)+($E$28:$E$55=$A63)+($F$28:$F$55=$A63)+($G$28:$G$55=$A63))&gt;0))</x:f>
        <x:v>0</x:v>
      </x:c>
      <x:c r="H63" s="34">
        <x:f t="shared" si="7"/>
        <x:v>0</x:v>
      </x:c>
      <x:c r="I63" s="10"/>
      <x:c r="J63" s="170"/>
      <x:c r="K63" s="170"/>
      <x:c r="L63" s="170"/>
      <x:c r="M63" s="170"/>
      <x:c r="N63" s="170"/>
    </x:row>
    <x:row r="64" ht="17.25" customHeight="1">
      <x:c r="A64" s="18" t="s">
        <x:v>44</x:v>
      </x:c>
      <x:c r="B64" s="36" t="s">
        <x:v>89</x:v>
      </x:c>
      <x:c r="C64" s="18">
        <x:f t="shared" si="3"/>
        <x:v>0</x:v>
      </x:c>
      <x:c r="D64" s="18">
        <x:f t="shared" si="4"/>
        <x:v>0</x:v>
      </x:c>
      <x:c r="E64" s="18">
        <x:f t="shared" si="5"/>
        <x:v>0</x:v>
      </x:c>
      <x:c r="F64" s="18">
        <x:f t="shared" si="6"/>
        <x:v>0</x:v>
      </x:c>
      <x:c r="G64" s="24" t="n">
        <x:f>SUM($H$15:$H$22)+SUMPRODUCT($L$28:$L$55,--((($D$28:$D$55=$A64)+($E$28:$E$55=$A64)+($F$28:$F$55=$A64)+($G$28:$G$55=$A64))&gt;0))</x:f>
        <x:v>0</x:v>
      </x:c>
      <x:c r="H64" s="34">
        <x:f t="shared" si="7"/>
        <x:v>0</x:v>
      </x:c>
      <x:c r="I64" s="10"/>
      <x:c r="J64" s="170"/>
      <x:c r="K64" s="170"/>
      <x:c r="L64" s="170"/>
      <x:c r="M64" s="170"/>
      <x:c r="N64" s="170"/>
    </x:row>
    <x:row r="65" ht="17.25" customHeight="1">
      <x:c r="A65" s="18" t="s">
        <x:v>53</x:v>
      </x:c>
      <x:c r="B65" s="36" t="s">
        <x:v>89</x:v>
      </x:c>
      <x:c r="C65" s="18">
        <x:f t="shared" si="3"/>
        <x:v>0</x:v>
      </x:c>
      <x:c r="D65" s="18">
        <x:f t="shared" si="4"/>
        <x:v>0</x:v>
      </x:c>
      <x:c r="E65" s="18">
        <x:f t="shared" si="5"/>
        <x:v>0</x:v>
      </x:c>
      <x:c r="F65" s="18">
        <x:f t="shared" si="6"/>
        <x:v>0</x:v>
      </x:c>
      <x:c r="G65" s="24" t="n">
        <x:f>SUM($H$15:$H$22)+SUMPRODUCT($L$28:$L$55,--((($D$28:$D$55=$A65)+($E$28:$E$55=$A65)+($F$28:$F$55=$A65)+($G$28:$G$55=$A65))&gt;0))</x:f>
        <x:v>0</x:v>
      </x:c>
      <x:c r="H65" s="34">
        <x:f t="shared" si="7"/>
        <x:v>0</x:v>
      </x:c>
      <x:c r="I65" s="10"/>
      <x:c r="J65" s="170"/>
      <x:c r="K65" s="170"/>
      <x:c r="L65" s="170"/>
      <x:c r="M65" s="170"/>
      <x:c r="N65" s="170"/>
    </x:row>
    <x:row r="66" ht="17.25" customHeight="1">
      <x:c r="A66" s="18" t="s">
        <x:v>52</x:v>
      </x:c>
      <x:c r="B66" s="36" t="s">
        <x:v>89</x:v>
      </x:c>
      <x:c r="C66" s="18">
        <x:f t="shared" si="3"/>
        <x:v>0</x:v>
      </x:c>
      <x:c r="D66" s="18">
        <x:f t="shared" si="4"/>
        <x:v>0</x:v>
      </x:c>
      <x:c r="E66" s="18">
        <x:f t="shared" si="5"/>
        <x:v>0</x:v>
      </x:c>
      <x:c r="F66" s="18">
        <x:f t="shared" si="6"/>
        <x:v>0</x:v>
      </x:c>
      <x:c r="G66" s="24" t="n">
        <x:f>SUM($H$15:$H$22)+SUMPRODUCT($L$28:$L$55,--((($D$28:$D$55=$A66)+($E$28:$E$55=$A66)+($F$28:$F$55=$A66)+($G$28:$G$55=$A66))&gt;0))</x:f>
        <x:v>0</x:v>
      </x:c>
      <x:c r="H66" s="34">
        <x:f t="shared" si="7"/>
        <x:v>0</x:v>
      </x:c>
      <x:c r="I66" s="10"/>
      <x:c r="J66" s="170"/>
      <x:c r="K66" s="170"/>
      <x:c r="L66" s="170"/>
      <x:c r="M66" s="170"/>
      <x:c r="N66" s="170"/>
    </x:row>
    <x:row r="67" ht="17.25" customHeight="1">
      <x:c r="A67" s="23" t="s">
        <x:v>43</x:v>
      </x:c>
      <x:c r="B67" s="37" t="s">
        <x:v>89</x:v>
      </x:c>
      <x:c r="C67" s="23">
        <x:f t="shared" si="3"/>
        <x:v>0</x:v>
      </x:c>
      <x:c r="D67" s="23" t="n">
        <x:f t="array" ref="D67">COUNTIF($D$15:$D$22,$B67)+SUMPRODUCT(--($H$28:$H$55=$B67),--((($D$28:$D$55=$A67)+($E$28:$E$55=$A67)+($F$28:$F$55=$A67)+($G$28:$G$55=$A67))&gt;0))</x:f>
        <x:v>0</x:v>
      </x:c>
      <x:c r="E67" s="23">
        <x:f t="shared" si="5"/>
        <x:v>0</x:v>
      </x:c>
      <x:c r="F67" s="23">
        <x:f t="shared" si="6"/>
        <x:v>0</x:v>
      </x:c>
      <x:c r="G67" s="25" t="n">
        <x:f>SUM($H$15:$H$22)+SUMPRODUCT($L$28:$L$55,--((($D$28:$D$55=$A67)+($E$28:$E$55=$A67)+($F$28:$F$55=$A67)+($G$28:$G$55=$A67))&gt;0))</x:f>
        <x:v>0</x:v>
      </x:c>
      <x:c r="H67" s="35">
        <x:f t="shared" si="7"/>
        <x:v>0</x:v>
      </x:c>
      <x:c r="I67" s="10"/>
      <x:c r="J67" s="170"/>
      <x:c r="K67" s="170"/>
      <x:c r="L67" s="170"/>
      <x:c r="M67" s="170"/>
      <x:c r="N67" s="170"/>
    </x:row>
    <x:row r="68" ht="13.5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</x:row>
    <x:row r="69" ht="13.5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</x:row>
    <x:row r="70" ht="13.5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</x:row>
    <x:row r="71" ht="13.5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</x:row>
    <x:row r="72" ht="13.5">
      <x:c r="A72" s="11"/>
      <x:c r="B72" s="11"/>
      <x:c r="C72" s="11"/>
      <x:c r="D72" s="11"/>
      <x:c r="E72" s="11"/>
      <x:c r="F72" s="11"/>
      <x:c r="G72" s="11"/>
      <x:c r="H72" s="11"/>
      <x:c r="I72" s="11"/>
      <x:c r="J72" s="11"/>
      <x:c r="K72" s="11"/>
      <x:c r="L72" s="11"/>
      <x:c r="M72" s="11"/>
      <x:c r="N72" s="11"/>
    </x:row>
    <x:row r="73" ht="13.5">
      <x:c r="A73" s="11"/>
      <x:c r="B73" s="11"/>
      <x:c r="C73" s="11"/>
      <x:c r="D73" s="11"/>
      <x:c r="E73" s="11"/>
      <x:c r="F73" s="11"/>
      <x:c r="G73" s="11"/>
      <x:c r="H73" s="11"/>
      <x:c r="I73" s="11"/>
      <x:c r="J73" s="11"/>
      <x:c r="K73" s="11"/>
      <x:c r="L73" s="11"/>
      <x:c r="M73" s="11"/>
      <x:c r="N73" s="11"/>
    </x:row>
    <x:row r="74" ht="13.5">
      <x:c r="A74" s="11"/>
      <x:c r="B74" s="11"/>
      <x:c r="C74" s="11"/>
      <x:c r="D74" s="11"/>
      <x:c r="E74" s="11"/>
      <x:c r="F74" s="11"/>
      <x:c r="G74" s="11"/>
      <x:c r="H74" s="11"/>
      <x:c r="I74" s="11"/>
      <x:c r="J74" s="11"/>
      <x:c r="K74" s="11"/>
      <x:c r="L74" s="11"/>
      <x:c r="M74" s="11"/>
      <x:c r="N74" s="11"/>
    </x:row>
    <x:row r="75" ht="13.5">
      <x:c r="A75" s="11"/>
      <x:c r="B75" s="11"/>
      <x:c r="C75" s="11"/>
      <x:c r="D75" s="11"/>
      <x:c r="E75" s="11"/>
      <x:c r="F75" s="11"/>
      <x:c r="G75" s="11"/>
      <x:c r="H75" s="11"/>
      <x:c r="I75" s="11"/>
      <x:c r="J75" s="11"/>
      <x:c r="K75" s="11"/>
      <x:c r="L75" s="11"/>
      <x:c r="M75" s="11"/>
      <x:c r="N75" s="11"/>
    </x:row>
    <x:row r="76" ht="13.5">
      <x:c r="A76" s="11"/>
      <x:c r="B76" s="11"/>
      <x:c r="C76" s="11"/>
      <x:c r="D76" s="11"/>
      <x:c r="E76" s="11"/>
      <x:c r="F76" s="11"/>
      <x:c r="G76" s="11"/>
      <x:c r="H76" s="11"/>
      <x:c r="I76" s="11"/>
      <x:c r="J76" s="11"/>
      <x:c r="K76" s="11"/>
      <x:c r="L76" s="11"/>
      <x:c r="M76" s="11"/>
      <x:c r="N76" s="11"/>
    </x:row>
    <x:row r="77" ht="13.5">
      <x:c r="A77" s="11"/>
      <x:c r="B77" s="11"/>
      <x:c r="C77" s="11"/>
      <x:c r="D77" s="11"/>
      <x:c r="E77" s="11"/>
      <x:c r="F77" s="11"/>
      <x:c r="G77" s="11"/>
      <x:c r="H77" s="11"/>
      <x:c r="I77" s="11"/>
      <x:c r="J77" s="11"/>
      <x:c r="K77" s="11"/>
      <x:c r="L77" s="11"/>
      <x:c r="M77" s="11"/>
      <x:c r="N77" s="11"/>
    </x:row>
    <x:row r="78" ht="13.5">
      <x:c r="A78" s="11"/>
      <x:c r="B78" s="11"/>
      <x:c r="C78" s="11"/>
      <x:c r="D78" s="11"/>
      <x:c r="E78" s="11"/>
      <x:c r="F78" s="11"/>
      <x:c r="G78" s="11"/>
      <x:c r="H78" s="11"/>
      <x:c r="I78" s="11"/>
      <x:c r="J78" s="11"/>
      <x:c r="K78" s="11"/>
      <x:c r="L78" s="11"/>
      <x:c r="M78" s="11"/>
      <x:c r="N78" s="11"/>
    </x:row>
    <x:row r="79" ht="13.5">
      <x:c r="A79" s="11"/>
      <x:c r="B79" s="11"/>
      <x:c r="C79" s="11"/>
      <x:c r="D79" s="11"/>
      <x:c r="E79" s="11"/>
      <x:c r="F79" s="11"/>
      <x:c r="G79" s="11"/>
      <x:c r="H79" s="11"/>
      <x:c r="I79" s="11"/>
      <x:c r="J79" s="11"/>
      <x:c r="K79" s="11"/>
      <x:c r="L79" s="11"/>
      <x:c r="M79" s="11"/>
      <x:c r="N79" s="11"/>
    </x:row>
    <x:row r="80" ht="13.5">
      <x:c r="A80" s="11"/>
      <x:c r="B80" s="11"/>
      <x:c r="C80" s="11"/>
      <x:c r="D80" s="11"/>
      <x:c r="E80" s="11"/>
      <x:c r="F80" s="11"/>
      <x:c r="G80" s="11"/>
      <x:c r="H80" s="11"/>
      <x:c r="I80" s="11"/>
      <x:c r="J80" s="11"/>
      <x:c r="K80" s="11"/>
      <x:c r="L80" s="11"/>
      <x:c r="M80" s="11"/>
      <x:c r="N80" s="11"/>
    </x:row>
    <x:row r="81" ht="13.5">
      <x:c r="A81" s="11"/>
      <x:c r="B81" s="11"/>
      <x:c r="C81" s="11"/>
      <x:c r="D81" s="11"/>
      <x:c r="E81" s="11"/>
      <x:c r="F81" s="11"/>
      <x:c r="G81" s="11"/>
      <x:c r="H81" s="11"/>
      <x:c r="I81" s="11"/>
      <x:c r="J81" s="11"/>
      <x:c r="K81" s="11"/>
      <x:c r="L81" s="11"/>
      <x:c r="M81" s="11"/>
      <x:c r="N81" s="11"/>
    </x:row>
    <x:row r="82" ht="13.5">
      <x:c r="A82" s="11"/>
      <x:c r="B82" s="11"/>
      <x:c r="C82" s="11"/>
      <x:c r="D82" s="11"/>
      <x:c r="E82" s="11"/>
      <x:c r="F82" s="11"/>
      <x:c r="G82" s="11"/>
      <x:c r="H82" s="11"/>
      <x:c r="I82" s="11"/>
      <x:c r="J82" s="11"/>
      <x:c r="K82" s="11"/>
      <x:c r="L82" s="11"/>
      <x:c r="M82" s="11"/>
      <x:c r="N82" s="11"/>
    </x:row>
    <x:row r="83" ht="13.5">
      <x:c r="A83" s="11"/>
      <x:c r="B83" s="11"/>
      <x:c r="C83" s="11"/>
      <x:c r="D83" s="11"/>
      <x:c r="E83" s="11"/>
      <x:c r="F83" s="11"/>
      <x:c r="G83" s="11"/>
      <x:c r="H83" s="11"/>
      <x:c r="I83" s="11"/>
      <x:c r="J83" s="11"/>
      <x:c r="K83" s="11"/>
      <x:c r="L83" s="11"/>
      <x:c r="M83" s="11"/>
      <x:c r="N83" s="11"/>
    </x:row>
    <x:row r="84" ht="13.5">
      <x:c r="A84" s="11"/>
      <x:c r="B84" s="11"/>
      <x:c r="C84" s="11"/>
      <x:c r="D84" s="11"/>
      <x:c r="E84" s="11"/>
      <x:c r="F84" s="11"/>
      <x:c r="G84" s="11"/>
      <x:c r="H84" s="11"/>
      <x:c r="I84" s="11"/>
      <x:c r="J84" s="11"/>
      <x:c r="K84" s="11"/>
      <x:c r="L84" s="11"/>
      <x:c r="M84" s="11"/>
      <x:c r="N84" s="11"/>
    </x:row>
    <x:row r="85" ht="13.5">
      <x:c r="A85" s="11"/>
      <x:c r="B85" s="11"/>
      <x:c r="C85" s="11"/>
      <x:c r="D85" s="11"/>
      <x:c r="E85" s="11"/>
      <x:c r="F85" s="11"/>
      <x:c r="G85" s="11"/>
      <x:c r="H85" s="11"/>
      <x:c r="I85" s="11"/>
      <x:c r="J85" s="11"/>
      <x:c r="K85" s="11"/>
      <x:c r="L85" s="11"/>
      <x:c r="M85" s="11"/>
      <x:c r="N85" s="11"/>
    </x:row>
    <x:row r="86" ht="13.5">
      <x:c r="A86" s="11"/>
      <x:c r="B86" s="11"/>
      <x:c r="C86" s="11"/>
      <x:c r="D86" s="11"/>
      <x:c r="E86" s="11"/>
      <x:c r="F86" s="11"/>
      <x:c r="G86" s="11"/>
      <x:c r="H86" s="11"/>
      <x:c r="I86" s="11"/>
      <x:c r="J86" s="11"/>
      <x:c r="K86" s="11"/>
      <x:c r="L86" s="11"/>
      <x:c r="M86" s="11"/>
      <x:c r="N86" s="11"/>
    </x:row>
    <x:row r="87" ht="13.5">
      <x:c r="A87" s="11"/>
      <x:c r="B87" s="11"/>
      <x:c r="C87" s="11"/>
      <x:c r="D87" s="11"/>
      <x:c r="E87" s="11"/>
      <x:c r="F87" s="11"/>
      <x:c r="G87" s="11"/>
      <x:c r="H87" s="11"/>
      <x:c r="I87" s="11"/>
      <x:c r="J87" s="11"/>
      <x:c r="K87" s="11"/>
      <x:c r="L87" s="11"/>
      <x:c r="M87" s="11"/>
      <x:c r="N87" s="11"/>
    </x:row>
    <x:row r="88" ht="13.5">
      <x:c r="A88" s="11"/>
      <x:c r="B88" s="11"/>
      <x:c r="C88" s="11"/>
      <x:c r="D88" s="11"/>
      <x:c r="E88" s="11"/>
      <x:c r="F88" s="11"/>
      <x:c r="G88" s="11"/>
      <x:c r="H88" s="11"/>
      <x:c r="I88" s="11"/>
      <x:c r="J88" s="11"/>
      <x:c r="K88" s="11"/>
      <x:c r="L88" s="11"/>
      <x:c r="M88" s="11"/>
      <x:c r="N88" s="11"/>
    </x:row>
    <x:row r="89" ht="13.5">
      <x:c r="A89" s="11"/>
      <x:c r="B89" s="11"/>
      <x:c r="C89" s="11"/>
      <x:c r="D89" s="11"/>
      <x:c r="E89" s="11"/>
      <x:c r="F89" s="11"/>
      <x:c r="G89" s="11"/>
      <x:c r="H89" s="11"/>
      <x:c r="I89" s="11"/>
      <x:c r="J89" s="11"/>
      <x:c r="K89" s="11"/>
      <x:c r="L89" s="11"/>
      <x:c r="M89" s="11"/>
      <x:c r="N89" s="11"/>
    </x:row>
    <x:row r="90" ht="13.5">
      <x:c r="A90" s="11"/>
      <x:c r="B90" s="11"/>
      <x:c r="C90" s="11"/>
      <x:c r="D90" s="11"/>
      <x:c r="E90" s="11"/>
      <x:c r="F90" s="11"/>
      <x:c r="G90" s="11"/>
      <x:c r="H90" s="11"/>
      <x:c r="I90" s="11"/>
      <x:c r="J90" s="11"/>
      <x:c r="K90" s="11"/>
      <x:c r="L90" s="11"/>
      <x:c r="M90" s="11"/>
      <x:c r="N90" s="11"/>
    </x:row>
    <x:row r="91" ht="13.5">
      <x:c r="A91" s="11"/>
      <x:c r="B91" s="11"/>
      <x:c r="C91" s="11"/>
      <x:c r="D91" s="11"/>
      <x:c r="E91" s="11"/>
      <x:c r="F91" s="11"/>
      <x:c r="G91" s="11"/>
      <x:c r="H91" s="11"/>
      <x:c r="I91" s="11"/>
      <x:c r="J91" s="11"/>
      <x:c r="K91" s="11"/>
      <x:c r="L91" s="11"/>
      <x:c r="M91" s="11"/>
      <x:c r="N91" s="11"/>
    </x:row>
    <x:row r="92" ht="13.5">
      <x:c r="A92" s="11"/>
      <x:c r="B92" s="11"/>
      <x:c r="C92" s="11"/>
      <x:c r="D92" s="11"/>
      <x:c r="E92" s="11"/>
      <x:c r="F92" s="11"/>
      <x:c r="G92" s="11"/>
      <x:c r="H92" s="11"/>
      <x:c r="I92" s="11"/>
      <x:c r="J92" s="11"/>
      <x:c r="K92" s="11"/>
      <x:c r="L92" s="11"/>
      <x:c r="M92" s="11"/>
      <x:c r="N92" s="11"/>
    </x:row>
    <x:row r="93" ht="13.5">
      <x:c r="A93" s="11"/>
      <x:c r="B93" s="11"/>
      <x:c r="C93" s="11"/>
      <x:c r="D93" s="11"/>
      <x:c r="E93" s="11"/>
      <x:c r="F93" s="11"/>
      <x:c r="G93" s="11"/>
      <x:c r="H93" s="11"/>
      <x:c r="I93" s="11"/>
      <x:c r="J93" s="11"/>
      <x:c r="K93" s="11"/>
      <x:c r="L93" s="11"/>
      <x:c r="M93" s="11"/>
      <x:c r="N93" s="11"/>
    </x:row>
    <x:row r="94" ht="13.5">
      <x:c r="A94" s="11"/>
      <x:c r="B94" s="11"/>
      <x:c r="C94" s="11"/>
      <x:c r="D94" s="11"/>
      <x:c r="E94" s="11"/>
      <x:c r="F94" s="11"/>
      <x:c r="G94" s="11"/>
      <x:c r="H94" s="11"/>
      <x:c r="I94" s="11"/>
      <x:c r="J94" s="11"/>
      <x:c r="K94" s="11"/>
      <x:c r="L94" s="11"/>
      <x:c r="M94" s="11"/>
      <x:c r="N94" s="11"/>
    </x:row>
    <x:row r="95" ht="13.5">
      <x:c r="A95" s="11"/>
      <x:c r="B95" s="11"/>
      <x:c r="C95" s="11"/>
      <x:c r="D95" s="11"/>
      <x:c r="E95" s="11"/>
      <x:c r="F95" s="11"/>
      <x:c r="G95" s="11"/>
      <x:c r="H95" s="11"/>
      <x:c r="I95" s="11"/>
      <x:c r="J95" s="11"/>
      <x:c r="K95" s="11"/>
      <x:c r="L95" s="11"/>
      <x:c r="M95" s="11"/>
      <x:c r="N95" s="11"/>
    </x:row>
    <x:row r="96" ht="13.5">
      <x:c r="A96" s="11"/>
      <x:c r="B96" s="11"/>
      <x:c r="C96" s="11"/>
      <x:c r="D96" s="11"/>
      <x:c r="E96" s="11"/>
      <x:c r="F96" s="11"/>
      <x:c r="G96" s="11"/>
      <x:c r="H96" s="11"/>
      <x:c r="I96" s="11"/>
      <x:c r="J96" s="11"/>
      <x:c r="K96" s="11"/>
      <x:c r="L96" s="11"/>
      <x:c r="M96" s="11"/>
      <x:c r="N96" s="11"/>
    </x:row>
    <x:row r="97" ht="13.5">
      <x:c r="A97" s="11"/>
      <x:c r="B97" s="11"/>
      <x:c r="C97" s="11"/>
      <x:c r="D97" s="11"/>
      <x:c r="E97" s="11"/>
      <x:c r="F97" s="11"/>
      <x:c r="G97" s="11"/>
      <x:c r="H97" s="11"/>
      <x:c r="I97" s="11"/>
      <x:c r="J97" s="11"/>
      <x:c r="K97" s="11"/>
      <x:c r="L97" s="11"/>
      <x:c r="M97" s="11"/>
      <x:c r="N97" s="11"/>
    </x:row>
    <x:row r="98" ht="13.5">
      <x:c r="A98" s="11"/>
      <x:c r="B98" s="11"/>
      <x:c r="C98" s="11"/>
      <x:c r="D98" s="11"/>
      <x:c r="E98" s="11"/>
      <x:c r="F98" s="11"/>
      <x:c r="G98" s="11"/>
      <x:c r="H98" s="11"/>
      <x:c r="I98" s="11"/>
      <x:c r="J98" s="11"/>
      <x:c r="K98" s="11"/>
      <x:c r="L98" s="11"/>
      <x:c r="M98" s="11"/>
      <x:c r="N98" s="11"/>
    </x:row>
    <x:row r="99" ht="13.5">
      <x:c r="A99" s="11"/>
      <x:c r="B99" s="11"/>
      <x:c r="C99" s="11"/>
      <x:c r="D99" s="11"/>
      <x:c r="E99" s="11"/>
      <x:c r="F99" s="11"/>
      <x:c r="G99" s="11"/>
      <x:c r="H99" s="11"/>
      <x:c r="I99" s="11"/>
      <x:c r="J99" s="11"/>
      <x:c r="K99" s="11"/>
      <x:c r="L99" s="11"/>
      <x:c r="M99" s="11"/>
      <x:c r="N99" s="11"/>
    </x:row>
    <x:row r="100" ht="13.5">
      <x:c r="A100" s="11"/>
      <x:c r="B100" s="11"/>
      <x:c r="C100" s="11"/>
      <x:c r="D100" s="11"/>
      <x:c r="E100" s="11"/>
      <x:c r="F100" s="11"/>
      <x:c r="G100" s="11"/>
      <x:c r="H100" s="11"/>
      <x:c r="I100" s="11"/>
      <x:c r="J100" s="11"/>
      <x:c r="K100" s="11"/>
      <x:c r="L100" s="11"/>
      <x:c r="M100" s="11"/>
      <x:c r="N100" s="11"/>
    </x:row>
    <x:row r="101" ht="13.5">
      <x:c r="A101" s="11"/>
      <x:c r="B101" s="11"/>
      <x:c r="C101" s="11"/>
      <x:c r="D101" s="11"/>
      <x:c r="E101" s="11"/>
      <x:c r="F101" s="11"/>
      <x:c r="G101" s="11"/>
      <x:c r="H101" s="11"/>
      <x:c r="I101" s="11"/>
      <x:c r="J101" s="11"/>
      <x:c r="K101" s="11"/>
      <x:c r="L101" s="11"/>
      <x:c r="M101" s="11"/>
      <x:c r="N101" s="11"/>
    </x:row>
    <x:row r="102" ht="13.5">
      <x:c r="A102" s="11"/>
      <x:c r="B102" s="11"/>
      <x:c r="C102" s="11"/>
      <x:c r="D102" s="11"/>
      <x:c r="E102" s="11"/>
      <x:c r="F102" s="11"/>
      <x:c r="G102" s="11"/>
      <x:c r="H102" s="11"/>
      <x:c r="I102" s="11"/>
      <x:c r="J102" s="11"/>
      <x:c r="K102" s="11"/>
      <x:c r="L102" s="11"/>
      <x:c r="M102" s="11"/>
      <x:c r="N102" s="11"/>
    </x:row>
    <x:row r="103" ht="13.5">
      <x:c r="A103" s="11"/>
      <x:c r="B103" s="11"/>
      <x:c r="C103" s="11"/>
      <x:c r="D103" s="11"/>
      <x:c r="E103" s="11"/>
      <x:c r="F103" s="11"/>
      <x:c r="G103" s="11"/>
      <x:c r="H103" s="11"/>
      <x:c r="I103" s="11"/>
      <x:c r="J103" s="11"/>
      <x:c r="K103" s="11"/>
      <x:c r="L103" s="11"/>
      <x:c r="M103" s="11"/>
      <x:c r="N103" s="11"/>
    </x:row>
    <x:row r="104" ht="13.5">
      <x:c r="A104" s="11"/>
      <x:c r="B104" s="11"/>
      <x:c r="C104" s="11"/>
      <x:c r="D104" s="11"/>
      <x:c r="E104" s="11"/>
      <x:c r="F104" s="11"/>
      <x:c r="G104" s="11"/>
      <x:c r="H104" s="11"/>
      <x:c r="I104" s="11"/>
      <x:c r="J104" s="11"/>
      <x:c r="K104" s="11"/>
      <x:c r="L104" s="11"/>
      <x:c r="M104" s="11"/>
      <x:c r="N104" s="11"/>
    </x:row>
    <x:row r="105" ht="13.5">
      <x:c r="A105" s="11"/>
      <x:c r="B105" s="11"/>
      <x:c r="C105" s="11"/>
      <x:c r="D105" s="11"/>
      <x:c r="E105" s="11"/>
      <x:c r="F105" s="11"/>
      <x:c r="G105" s="11"/>
      <x:c r="H105" s="11"/>
      <x:c r="I105" s="11"/>
      <x:c r="J105" s="11"/>
      <x:c r="K105" s="11"/>
      <x:c r="L105" s="11"/>
      <x:c r="M105" s="11"/>
      <x:c r="N105" s="11"/>
    </x:row>
    <x:row r="106" ht="13.5">
      <x:c r="A106" s="11"/>
      <x:c r="B106" s="11"/>
      <x:c r="C106" s="11"/>
      <x:c r="D106" s="11"/>
      <x:c r="E106" s="11"/>
      <x:c r="F106" s="11"/>
      <x:c r="G106" s="11"/>
      <x:c r="H106" s="11"/>
      <x:c r="I106" s="11"/>
      <x:c r="J106" s="11"/>
      <x:c r="K106" s="11"/>
      <x:c r="L106" s="11"/>
      <x:c r="M106" s="11"/>
      <x:c r="N106" s="11"/>
    </x:row>
  </x:sheetData>
  <x:mergeCells>
    <x:mergeCell ref="A13:I13"/>
    <x:mergeCell ref="A25:M25"/>
    <x:mergeCell ref="A58:H58"/>
    <x:mergeCell ref="J58:N67"/>
    <x:mergeCell ref="A1:N2"/>
    <x:mergeCell ref="A6:F6"/>
    <x:mergeCell ref="I6:N6"/>
    <x:mergeCell ref="A7:F9"/>
    <x:mergeCell ref="I7:N9"/>
    <x:mergeCell ref="G6:H6"/>
    <x:mergeCell ref="G7:H8"/>
    <x:mergeCell ref="G9:H9"/>
  </x:mergeCells>
  <x:conditionalFormatting sqref="B56:B63">
    <x:cfRule type="expression" dxfId="157" priority="51">
      <x:formula>B56="Navy"</x:formula>
    </x:cfRule>
    <x:cfRule type="expression" dxfId="156" priority="50">
      <x:formula>B56="Red"</x:formula>
    </x:cfRule>
  </x:conditionalFormatting>
  <x:conditionalFormatting sqref="D15:D22">
    <x:cfRule type="containsText" dxfId="155" priority="2" operator="containsText" text="Tied">
      <x:formula>NOT(ISERROR(SEARCH("Tied",D15)))</x:formula>
    </x:cfRule>
    <x:cfRule type="containsText" dxfId="154" priority="3" operator="containsText" text="Red">
      <x:formula>NOT(ISERROR(SEARCH("Red",D15)))</x:formula>
    </x:cfRule>
    <x:cfRule type="containsText" dxfId="153" priority="1" operator="containsText" text="Navy">
      <x:formula>NOT(ISERROR(SEARCH("Navy",D15)))</x:formula>
    </x:cfRule>
  </x:conditionalFormatting>
  <x:conditionalFormatting sqref="H28:H30">
    <x:cfRule type="containsText" dxfId="152" priority="34" operator="containsText" text="Navy">
      <x:formula>NOT(ISERROR(SEARCH("Navy",H28)))</x:formula>
    </x:cfRule>
    <x:cfRule type="containsText" dxfId="151" priority="35" operator="containsText" text="Tied">
      <x:formula>NOT(ISERROR(SEARCH("Tied",H28)))</x:formula>
    </x:cfRule>
    <x:cfRule type="containsText" dxfId="150" priority="36" operator="containsText" text="Red">
      <x:formula>NOT(ISERROR(SEARCH("Red",H28)))</x:formula>
    </x:cfRule>
  </x:conditionalFormatting>
  <x:conditionalFormatting sqref="H33:H35">
    <x:cfRule type="containsText" dxfId="149" priority="18" operator="containsText" text="Red">
      <x:formula>NOT(ISERROR(SEARCH("Red",H33)))</x:formula>
    </x:cfRule>
    <x:cfRule type="containsText" dxfId="148" priority="16" operator="containsText" text="Navy">
      <x:formula>NOT(ISERROR(SEARCH("Navy",H33)))</x:formula>
    </x:cfRule>
    <x:cfRule type="containsText" dxfId="147" priority="17" operator="containsText" text="Tied">
      <x:formula>NOT(ISERROR(SEARCH("Tied",H33)))</x:formula>
    </x:cfRule>
  </x:conditionalFormatting>
  <x:conditionalFormatting sqref="H38:H40">
    <x:cfRule type="containsText" dxfId="146" priority="13" operator="containsText" text="Navy">
      <x:formula>NOT(ISERROR(SEARCH("Navy",H38)))</x:formula>
    </x:cfRule>
    <x:cfRule type="containsText" dxfId="145" priority="14" operator="containsText" text="Tied">
      <x:formula>NOT(ISERROR(SEARCH("Tied",H38)))</x:formula>
    </x:cfRule>
    <x:cfRule type="containsText" dxfId="144" priority="15" operator="containsText" text="Red">
      <x:formula>NOT(ISERROR(SEARCH("Red",H38)))</x:formula>
    </x:cfRule>
  </x:conditionalFormatting>
  <x:conditionalFormatting sqref="H43:H45">
    <x:cfRule type="containsText" dxfId="143" priority="10" operator="containsText" text="Navy">
      <x:formula>NOT(ISERROR(SEARCH("Navy",H43)))</x:formula>
    </x:cfRule>
    <x:cfRule type="containsText" dxfId="142" priority="11" operator="containsText" text="Tied">
      <x:formula>NOT(ISERROR(SEARCH("Tied",H43)))</x:formula>
    </x:cfRule>
    <x:cfRule type="containsText" dxfId="141" priority="12" operator="containsText" text="Red">
      <x:formula>NOT(ISERROR(SEARCH("Red",H43)))</x:formula>
    </x:cfRule>
  </x:conditionalFormatting>
  <x:conditionalFormatting sqref="H48:H50">
    <x:cfRule type="containsText" dxfId="140" priority="7" operator="containsText" text="Navy">
      <x:formula>NOT(ISERROR(SEARCH("Navy",H48)))</x:formula>
    </x:cfRule>
    <x:cfRule type="containsText" dxfId="139" priority="8" operator="containsText" text="Tied">
      <x:formula>NOT(ISERROR(SEARCH("Tied",H48)))</x:formula>
    </x:cfRule>
    <x:cfRule type="containsText" dxfId="138" priority="9" operator="containsText" text="Red">
      <x:formula>NOT(ISERROR(SEARCH("Red",H48)))</x:formula>
    </x:cfRule>
  </x:conditionalFormatting>
  <x:conditionalFormatting sqref="H53:H55">
    <x:cfRule type="containsText" dxfId="137" priority="4" operator="containsText" text="Navy">
      <x:formula>NOT(ISERROR(SEARCH("Navy",H53)))</x:formula>
    </x:cfRule>
    <x:cfRule type="containsText" dxfId="136" priority="5" operator="containsText" text="Tied">
      <x:formula>NOT(ISERROR(SEARCH("Tied",H53)))</x:formula>
    </x:cfRule>
    <x:cfRule type="containsText" dxfId="135" priority="6" operator="containsText" text="Red">
      <x:formula>NOT(ISERROR(SEARCH("Red",H53)))</x:formula>
    </x:cfRule>
  </x:conditionalFormatting>
  <x:conditionalFormatting sqref="I14:I24">
    <x:cfRule type="expression" dxfId="134" priority="43">
      <x:formula>I14="Navy"</x:formula>
    </x:cfRule>
    <x:cfRule type="expression" dxfId="133" priority="44">
      <x:formula>I14="Red"</x:formula>
    </x:cfRule>
    <x:cfRule type="expression" dxfId="132" priority="45">
      <x:formula>I14="Tied"</x:formula>
    </x:cfRule>
  </x:conditionalFormatting>
  <x:conditionalFormatting sqref="I14:I28 I31:I32 I36:I37 I41:I42 I46:I47">
    <x:cfRule type="expression" dxfId="131" priority="47">
      <x:formula>I14="Red"</x:formula>
    </x:cfRule>
    <x:cfRule type="expression" dxfId="130" priority="48">
      <x:formula>I14="Navy"</x:formula>
    </x:cfRule>
    <x:cfRule type="expression" dxfId="129" priority="49">
      <x:formula>I14="Tied"</x:formula>
    </x:cfRule>
  </x:conditionalFormatting>
  <x:conditionalFormatting sqref="I51:I52">
    <x:cfRule type="expression" dxfId="128" priority="37">
      <x:formula>I51="Red"</x:formula>
    </x:cfRule>
    <x:cfRule type="expression" dxfId="127" priority="38">
      <x:formula>I51="Navy"</x:formula>
    </x:cfRule>
    <x:cfRule type="expression" dxfId="126" priority="39">
      <x:formula>I51="Tied"</x:formula>
    </x:cfRule>
  </x:conditionalFormatting>
  <x:conditionalFormatting sqref="K23:K24">
    <x:cfRule type="expression" dxfId="125" priority="46">
      <x:formula>K23="Final"</x:formula>
    </x:cfRule>
  </x:conditionalFormatting>
  <x:dataValidations count="6">
    <x:dataValidation type="list" sqref="D23:D24 E16:E17">
      <x:formula1>$P$2:$P$7</x:formula1>
    </x:dataValidation>
    <x:dataValidation type="list" sqref="F16:G17 F21:F24">
      <x:formula1>$Q$2:$Q$7</x:formula1>
    </x:dataValidation>
    <x:dataValidation type="list" sqref="H53:H55 H38:H40 H33:H35 H28:H30 H43:H45 I15:I18 I42 I37 I32 I24:I27 H48:H50 I20:I22 I47 D15:D22">
      <x:formula1>"Red,Navy,Tied"</x:formula1>
    </x:dataValidation>
    <x:dataValidation type="list" sqref="D19:E19 D32:E32 D27:E27 D40:D42 D35:D37 D23:E23 D30:D31 D45:D47 D51:D52 D16:D18">
      <x:formula1>"Sam Griffiths,Kevin Catliff,Sean Bromley,Dylan Bradley"</x:formula1>
    </x:dataValidation>
    <x:dataValidation type="list" sqref="F19:G19 F32:G32 F27:G27 F40:F42 F35:F37 F23:G23 F30:F31 F45:F47 F51:F52">
      <x:formula1>"Eric Bleim,George Collister,Steven Wells,JJ Meakings"</x:formula1>
    </x:dataValidation>
    <x:dataValidation type="list" sqref="I14:I24">
      <x:formula1>"Navy,Red,Tied"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5703125" defaultRowHeight="12.75"/>
  <x:cols>
    <x:col min="1" max="1" width="14.85546875" customWidth="1"/>
    <x:col min="2" max="2" width="9.85546875" customWidth="1"/>
    <x:col min="3" max="3" width="12" customWidth="1"/>
    <x:col min="4" max="4" width="13.85546875" customWidth="1"/>
    <x:col min="5" max="5" width="15.7109375" customWidth="1"/>
    <x:col min="6" max="6" width="16.85546875" customWidth="1"/>
    <x:col min="7" max="7" width="21.140625" customWidth="1"/>
    <x:col min="8" max="8" width="20" customWidth="1"/>
    <x:col min="9" max="9" width="17" customWidth="1"/>
    <x:col min="10" max="10" width="13.28515625" customWidth="1"/>
    <x:col min="11" max="12" width="4.85546875" customWidth="1"/>
    <x:col min="13" max="13" width="8.42578125" customWidth="1"/>
    <x:col min="14" max="14" width="10" customWidth="1"/>
  </x:cols>
  <x:sheetData>
    <x:row r="1" ht="33.95000076293945" customHeight="1">
      <x:c r="A1" s="137" t="s">
        <x:v>90</x:v>
      </x:c>
      <x:c r="B1" s="137"/>
      <x:c r="C1" s="137"/>
      <x:c r="D1" s="137"/>
      <x:c r="E1" s="137"/>
      <x:c r="F1" s="137"/>
      <x:c r="G1" s="137"/>
      <x:c r="H1" s="137"/>
      <x:c r="I1" s="137"/>
      <x:c r="J1" s="137"/>
    </x:row>
    <x:row r="2" ht="13.5">
      <x:c r="A2" s="93"/>
      <x:c r="B2" s="93"/>
      <x:c r="C2" s="93"/>
      <x:c r="D2" s="93"/>
      <x:c r="E2" s="93"/>
      <x:c r="F2" s="93"/>
      <x:c r="G2" s="93"/>
      <x:c r="H2" s="93"/>
      <x:c r="I2" s="93"/>
      <x:c r="J2" s="93"/>
    </x:row>
    <x:row r="3" ht="21.950000762939453" customHeight="1">
      <x:c r="A3" s="138" t="s">
        <x:v>91</x:v>
      </x:c>
      <x:c r="B3" s="138"/>
      <x:c r="C3" s="138"/>
      <x:c r="D3" s="138"/>
      <x:c r="E3" s="138"/>
      <x:c r="F3" s="138"/>
      <x:c r="G3" s="138"/>
      <x:c r="H3" s="138"/>
      <x:c r="I3" s="138"/>
      <x:c r="J3" s="140"/>
    </x:row>
    <x:row r="4" ht="9.949999809265137" customHeight="1">
      <x:c r="A4" s="104"/>
      <x:c r="B4" s="104"/>
      <x:c r="C4" s="104"/>
      <x:c r="D4" s="104"/>
      <x:c r="E4" s="104"/>
      <x:c r="F4" s="104"/>
      <x:c r="G4" s="105"/>
      <x:c r="H4" s="104"/>
      <x:c r="I4" s="104"/>
    </x:row>
    <x:row r="5" ht="24" customHeight="1">
      <x:c r="A5" s="179" t="s">
        <x:v>92</x:v>
      </x:c>
      <x:c r="B5" s="179"/>
      <x:c r="C5" s="179"/>
      <x:c r="D5" s="179"/>
      <x:c r="E5" s="179"/>
      <x:c r="F5" s="179"/>
      <x:c r="G5" s="11"/>
    </x:row>
    <x:row r="6" ht="24.950000762939453" customHeight="1">
      <x:c r="A6" s="128" t="s">
        <x:v>93</x:v>
      </x:c>
      <x:c r="B6" s="128" t="s">
        <x:v>94</x:v>
      </x:c>
      <x:c r="C6" s="128" t="s">
        <x:v>95</x:v>
      </x:c>
      <x:c r="D6" s="128" t="s">
        <x:v>96</x:v>
      </x:c>
      <x:c r="E6" s="128" t="s">
        <x:v>13</x:v>
      </x:c>
      <x:c r="F6" s="128" t="s">
        <x:v>14</x:v>
      </x:c>
      <x:c r="G6" s="11"/>
    </x:row>
    <x:row r="7" ht="13.5">
      <x:c r="A7" s="106">
        <x:v>2019</x:v>
      </x:c>
      <x:c r="B7" s="106" t="s">
        <x:v>89</x:v>
      </x:c>
      <x:c r="C7" s="106" t="s">
        <x:v>44</x:v>
      </x:c>
      <x:c r="D7" s="106" t="s">
        <x:v>97</x:v>
      </x:c>
      <x:c r="E7" s="106">
        <x:v>1.5</x:v>
      </x:c>
      <x:c r="F7" s="107">
        <x:v>13.5</x:v>
      </x:c>
      <x:c r="G7" s="11"/>
    </x:row>
    <x:row r="8" ht="13.5">
      <x:c r="A8" s="106">
        <x:v>2020</x:v>
      </x:c>
      <x:c r="B8" s="106" t="s">
        <x:v>88</x:v>
      </x:c>
      <x:c r="C8" s="106" t="s">
        <x:v>41</x:v>
      </x:c>
      <x:c r="D8" s="106" t="s">
        <x:v>98</x:v>
      </x:c>
      <x:c r="E8" s="106">
        <x:v>10</x:v>
      </x:c>
      <x:c r="F8" s="107">
        <x:v>5</x:v>
      </x:c>
      <x:c r="G8" s="11"/>
    </x:row>
    <x:row r="9" ht="13.5">
      <x:c r="A9" s="106">
        <x:v>2021</x:v>
      </x:c>
      <x:c r="B9" s="106" t="s">
        <x:v>88</x:v>
      </x:c>
      <x:c r="C9" s="106" t="s">
        <x:v>51</x:v>
      </x:c>
      <x:c r="D9" s="106" t="s">
        <x:v>99</x:v>
      </x:c>
      <x:c r="E9" s="106">
        <x:v>9</x:v>
      </x:c>
      <x:c r="F9" s="107">
        <x:v>6</x:v>
      </x:c>
      <x:c r="G9" s="11"/>
    </x:row>
    <x:row r="10" ht="13.5">
      <x:c r="A10" s="106">
        <x:v>2022</x:v>
      </x:c>
      <x:c r="B10" s="106" t="s">
        <x:v>89</x:v>
      </x:c>
      <x:c r="C10" s="106" t="s">
        <x:v>43</x:v>
      </x:c>
      <x:c r="D10" s="106" t="s">
        <x:v>100</x:v>
      </x:c>
      <x:c r="E10" s="106">
        <x:v>7</x:v>
      </x:c>
      <x:c r="F10" s="107">
        <x:v>8</x:v>
      </x:c>
      <x:c r="G10" s="11"/>
    </x:row>
    <x:row r="11" ht="13.5">
      <x:c r="A11" s="106">
        <x:v>2025</x:v>
      </x:c>
      <x:c r="B11" s="106" t="s">
        <x:v>89</x:v>
      </x:c>
      <x:c r="C11" s="106" t="s">
        <x:v>44</x:v>
      </x:c>
      <x:c r="D11" s="106" t="s">
        <x:v>101</x:v>
      </x:c>
      <x:c r="E11" s="106">
        <x:v>5.5</x:v>
      </x:c>
      <x:c r="F11" s="107">
        <x:v>9.5</x:v>
      </x:c>
      <x:c r="G11" s="11"/>
    </x:row>
    <x:row r="12" ht="13.5">
      <x:c r="A12" s="11"/>
      <x:c r="B12" s="11"/>
      <x:c r="C12" s="11"/>
      <x:c r="D12" s="11"/>
      <x:c r="E12" s="97"/>
      <x:c r="F12" s="96"/>
      <x:c r="G12" s="11"/>
    </x:row>
    <x:row r="13" ht="13.5">
      <x:c r="A13" s="11"/>
      <x:c r="B13" s="11"/>
      <x:c r="C13" s="11"/>
      <x:c r="D13" s="11"/>
      <x:c r="E13" s="97"/>
      <x:c r="F13" s="96"/>
      <x:c r="G13" s="11"/>
    </x:row>
    <x:row r="14" ht="15">
      <x:c r="A14" s="133" t="s">
        <x:v>102</x:v>
      </x:c>
      <x:c r="B14" s="133"/>
      <x:c r="C14" s="133"/>
      <x:c r="D14" s="133"/>
      <x:c r="E14" s="133"/>
      <x:c r="F14" s="133"/>
      <x:c r="G14" s="11"/>
    </x:row>
    <x:row r="15" ht="13.5">
      <x:c r="A15" s="128" t="s">
        <x:v>80</x:v>
      </x:c>
      <x:c r="B15" s="128" t="s">
        <x:v>81</x:v>
      </x:c>
      <x:c r="C15" s="128" t="s">
        <x:v>103</x:v>
      </x:c>
      <x:c r="D15" s="128" t="s">
        <x:v>104</x:v>
      </x:c>
      <x:c r="E15" s="128" t="s">
        <x:v>105</x:v>
      </x:c>
      <x:c r="F15" s="134" t="s">
        <x:v>106</x:v>
      </x:c>
      <x:c r="G15" s="11"/>
      <x:c r="H15" s="110"/>
      <x:c r="I15" s="111"/>
      <x:c r="J15" s="111"/>
      <x:c r="K15" s="111"/>
      <x:c r="L15" s="111"/>
      <x:c r="M15" s="112"/>
    </x:row>
    <x:row r="16" ht="13.5">
      <x:c r="A16" s="135" t="s">
        <x:v>52</x:v>
      </x:c>
      <x:c r="B16" s="106" t="s">
        <x:v>89</x:v>
      </x:c>
      <x:c r="C16" s="106" t="n">
        <x:f>COUNTIFS(PlayerMatchHistory[Player],$A16,PlayerMatchHistory[Result],C$15)+COUNTIFS(PlayerMatchHistory[Player],"All",PlayerMatchHistory[Team],$B16,PlayerMatchHistory[Result],C$15)</x:f>
        <x:v>10</x:v>
      </x:c>
      <x:c r="D16" s="106" t="n">
        <x:f>COUNTIFS(PlayerMatchHistory[Player],$A16,PlayerMatchHistory[Result],D$15)+COUNTIFS(PlayerMatchHistory[Player],"All",PlayerMatchHistory[Team],$B16,PlayerMatchHistory[Result],D$15)</x:f>
        <x:v>5</x:v>
      </x:c>
      <x:c r="E16" s="106" t="n">
        <x:f>COUNTIFS(PlayerMatchHistory[Player],$A16,PlayerMatchHistory[Result],E$15)+COUNTIFS(PlayerMatchHistory[Player],"All",PlayerMatchHistory[Team],$B16,PlayerMatchHistory[Result],E$15)</x:f>
        <x:v>0</x:v>
      </x:c>
      <x:c r="F16" s="136" t="n">
        <x:f t="shared" ref="F16:F23" si="0">(C16+E16/2)/SUM(C16:E16)</x:f>
        <x:v>0.6666666666666666</x:v>
      </x:c>
      <x:c r="G16" s="11"/>
      <x:c r="H16" s="110"/>
      <x:c r="I16" s="111"/>
      <x:c r="J16" s="111"/>
      <x:c r="K16" s="111"/>
      <x:c r="L16" s="111"/>
      <x:c r="M16" s="112"/>
    </x:row>
    <x:row r="17" ht="13.5">
      <x:c r="A17" s="135" t="s">
        <x:v>53</x:v>
      </x:c>
      <x:c r="B17" s="106" t="s">
        <x:v>89</x:v>
      </x:c>
      <x:c r="C17" s="106" t="n">
        <x:f>COUNTIFS(PlayerMatchHistory[Player],$A17,PlayerMatchHistory[Result],C$15)+COUNTIFS(PlayerMatchHistory[Player],"All",PlayerMatchHistory[Team],$B17,PlayerMatchHistory[Result],C$15)</x:f>
        <x:v>9</x:v>
      </x:c>
      <x:c r="D17" s="106" t="n">
        <x:f>COUNTIFS(PlayerMatchHistory[Player],$A17,PlayerMatchHistory[Result],D$15)+COUNTIFS(PlayerMatchHistory[Player],"All",PlayerMatchHistory[Team],$B17,PlayerMatchHistory[Result],D$15)</x:f>
        <x:v>6</x:v>
      </x:c>
      <x:c r="E17" s="106" t="n">
        <x:f>COUNTIFS(PlayerMatchHistory[Player],$A17,PlayerMatchHistory[Result],E$15)+COUNTIFS(PlayerMatchHistory[Player],"All",PlayerMatchHistory[Team],$B17,PlayerMatchHistory[Result],E$15)</x:f>
        <x:v>0</x:v>
      </x:c>
      <x:c r="F17" s="136">
        <x:f t="shared" si="0"/>
        <x:v>0.6</x:v>
      </x:c>
      <x:c r="G17" s="11"/>
      <x:c r="H17" s="110"/>
      <x:c r="I17" s="111"/>
      <x:c r="J17" s="111"/>
      <x:c r="K17" s="111"/>
      <x:c r="L17" s="111"/>
      <x:c r="M17" s="112"/>
    </x:row>
    <x:row r="18" ht="13.5">
      <x:c r="A18" s="135" t="s">
        <x:v>43</x:v>
      </x:c>
      <x:c r="B18" s="106" t="s">
        <x:v>89</x:v>
      </x:c>
      <x:c r="C18" s="106" t="n">
        <x:f>COUNTIFS(PlayerMatchHistory[Player],$A18,PlayerMatchHistory[Result],C$15)+COUNTIFS(PlayerMatchHistory[Player],"All",PlayerMatchHistory[Team],$B18,PlayerMatchHistory[Result],C$15)</x:f>
        <x:v>8</x:v>
      </x:c>
      <x:c r="D18" s="106" t="n">
        <x:f>COUNTIFS(PlayerMatchHistory[Player],$A18,PlayerMatchHistory[Result],D$15)+COUNTIFS(PlayerMatchHistory[Player],"All",PlayerMatchHistory[Team],$B18,PlayerMatchHistory[Result],D$15)</x:f>
        <x:v>5</x:v>
      </x:c>
      <x:c r="E18" s="106" t="n">
        <x:f>COUNTIFS(PlayerMatchHistory[Player],$A18,PlayerMatchHistory[Result],E$15)+COUNTIFS(PlayerMatchHistory[Player],"All",PlayerMatchHistory[Team],$B18,PlayerMatchHistory[Result],E$15)</x:f>
        <x:v>2</x:v>
      </x:c>
      <x:c r="F18" s="136">
        <x:f t="shared" si="0"/>
        <x:v>0.6</x:v>
      </x:c>
      <x:c r="G18" s="11"/>
      <x:c r="H18" s="110"/>
      <x:c r="I18" s="111"/>
      <x:c r="J18" s="111"/>
      <x:c r="K18" s="111"/>
      <x:c r="L18" s="111"/>
      <x:c r="M18" s="112"/>
    </x:row>
    <x:row r="19" ht="13.5">
      <x:c r="A19" s="135" t="s">
        <x:v>42</x:v>
      </x:c>
      <x:c r="B19" s="106" t="s">
        <x:v>88</x:v>
      </x:c>
      <x:c r="C19" s="106" t="n">
        <x:f>COUNTIFS(PlayerMatchHistory[Player],$A19,PlayerMatchHistory[Result],C$15)+COUNTIFS(PlayerMatchHistory[Player],"All",PlayerMatchHistory[Team],$B19,PlayerMatchHistory[Result],C$15)</x:f>
        <x:v>8</x:v>
      </x:c>
      <x:c r="D19" s="106" t="n">
        <x:f>COUNTIFS(PlayerMatchHistory[Player],$A19,PlayerMatchHistory[Result],D$15)+COUNTIFS(PlayerMatchHistory[Player],"All",PlayerMatchHistory[Team],$B19,PlayerMatchHistory[Result],D$15)</x:f>
        <x:v>6</x:v>
      </x:c>
      <x:c r="E19" s="106" t="n">
        <x:f>COUNTIFS(PlayerMatchHistory[Player],$A19,PlayerMatchHistory[Result],E$15)+COUNTIFS(PlayerMatchHistory[Player],"All",PlayerMatchHistory[Team],$B19,PlayerMatchHistory[Result],E$15)</x:f>
        <x:v>1</x:v>
      </x:c>
      <x:c r="F19" s="136">
        <x:f t="shared" si="0"/>
        <x:v>0.56666666666666665</x:v>
      </x:c>
      <x:c r="G19" s="11"/>
      <x:c r="H19" s="110"/>
      <x:c r="I19" s="111"/>
      <x:c r="J19" s="111"/>
      <x:c r="K19" s="111"/>
      <x:c r="L19" s="111"/>
      <x:c r="M19" s="112"/>
    </x:row>
    <x:row r="20" ht="13.5">
      <x:c r="A20" s="135" t="s">
        <x:v>44</x:v>
      </x:c>
      <x:c r="B20" s="106" t="s">
        <x:v>89</x:v>
      </x:c>
      <x:c r="C20" s="106" t="n">
        <x:f>COUNTIFS(PlayerMatchHistory[Player],$A20,PlayerMatchHistory[Result],C$15)+COUNTIFS(PlayerMatchHistory[Player],"All",PlayerMatchHistory[Team],$B20,PlayerMatchHistory[Result],C$15)</x:f>
        <x:v>8</x:v>
      </x:c>
      <x:c r="D20" s="106" t="n">
        <x:f>COUNTIFS(PlayerMatchHistory[Player],$A20,PlayerMatchHistory[Result],D$15)+COUNTIFS(PlayerMatchHistory[Player],"All",PlayerMatchHistory[Team],$B20,PlayerMatchHistory[Result],D$15)</x:f>
        <x:v>7</x:v>
      </x:c>
      <x:c r="E20" s="106" t="n">
        <x:f>COUNTIFS(PlayerMatchHistory[Player],$A20,PlayerMatchHistory[Result],E$15)+COUNTIFS(PlayerMatchHistory[Player],"All",PlayerMatchHistory[Team],$B20,PlayerMatchHistory[Result],E$15)</x:f>
        <x:v>0</x:v>
      </x:c>
      <x:c r="F20" s="136">
        <x:f t="shared" si="0"/>
        <x:v>0.53333333333333333</x:v>
      </x:c>
      <x:c r="G20" s="11"/>
      <x:c r="H20" s="110"/>
      <x:c r="I20" s="111"/>
      <x:c r="J20" s="111"/>
      <x:c r="K20" s="111"/>
      <x:c r="L20" s="111"/>
      <x:c r="M20" s="112"/>
    </x:row>
    <x:row r="21" ht="13.5">
      <x:c r="A21" s="135" t="s">
        <x:v>41</x:v>
      </x:c>
      <x:c r="B21" s="106" t="s">
        <x:v>88</x:v>
      </x:c>
      <x:c r="C21" s="106" t="n">
        <x:f>COUNTIFS(PlayerMatchHistory[Player],$A21,PlayerMatchHistory[Result],C$15)+COUNTIFS(PlayerMatchHistory[Player],"All",PlayerMatchHistory[Team],$B21,PlayerMatchHistory[Result],C$15)</x:f>
        <x:v>6</x:v>
      </x:c>
      <x:c r="D21" s="106" t="n">
        <x:f>COUNTIFS(PlayerMatchHistory[Player],$A21,PlayerMatchHistory[Result],D$15)+COUNTIFS(PlayerMatchHistory[Player],"All",PlayerMatchHistory[Team],$B21,PlayerMatchHistory[Result],D$15)</x:f>
        <x:v>8</x:v>
      </x:c>
      <x:c r="E21" s="106" t="n">
        <x:f>COUNTIFS(PlayerMatchHistory[Player],$A21,PlayerMatchHistory[Result],E$15)+COUNTIFS(PlayerMatchHistory[Player],"All",PlayerMatchHistory[Team],$B21,PlayerMatchHistory[Result],E$15)</x:f>
        <x:v>1</x:v>
      </x:c>
      <x:c r="F21" s="136">
        <x:f t="shared" si="0"/>
        <x:v>0.43333333333333335</x:v>
      </x:c>
      <x:c r="G21" s="11"/>
      <x:c r="H21" s="110"/>
      <x:c r="I21" s="111"/>
      <x:c r="J21" s="111"/>
      <x:c r="K21" s="111"/>
      <x:c r="L21" s="111"/>
      <x:c r="M21" s="112"/>
    </x:row>
    <x:row r="22" ht="13.5">
      <x:c r="A22" s="135" t="s">
        <x:v>50</x:v>
      </x:c>
      <x:c r="B22" s="106" t="s">
        <x:v>88</x:v>
      </x:c>
      <x:c r="C22" s="106" t="n">
        <x:f>COUNTIFS(PlayerMatchHistory[Player],$A22,PlayerMatchHistory[Result],C$15)+COUNTIFS(PlayerMatchHistory[Player],"All",PlayerMatchHistory[Team],$B22,PlayerMatchHistory[Result],C$15)</x:f>
        <x:v>5</x:v>
      </x:c>
      <x:c r="D22" s="106" t="n">
        <x:f>COUNTIFS(PlayerMatchHistory[Player],$A22,PlayerMatchHistory[Result],D$15)+COUNTIFS(PlayerMatchHistory[Player],"All",PlayerMatchHistory[Team],$B22,PlayerMatchHistory[Result],D$15)</x:f>
        <x:v>10</x:v>
      </x:c>
      <x:c r="E22" s="106" t="n">
        <x:f>COUNTIFS(PlayerMatchHistory[Player],$A22,PlayerMatchHistory[Result],E$15)+COUNTIFS(PlayerMatchHistory[Player],"All",PlayerMatchHistory[Team],$B22,PlayerMatchHistory[Result],E$15)</x:f>
        <x:v>0</x:v>
      </x:c>
      <x:c r="F22" s="136">
        <x:f t="shared" si="0"/>
        <x:v>0.33333333333333331</x:v>
      </x:c>
      <x:c r="G22" s="11"/>
      <x:c r="H22" s="110"/>
      <x:c r="I22" s="111"/>
      <x:c r="J22" s="111"/>
      <x:c r="K22" s="111"/>
      <x:c r="L22" s="111"/>
      <x:c r="M22" s="112"/>
    </x:row>
    <x:row r="23" ht="13.5">
      <x:c r="A23" s="110" t="s">
        <x:v>51</x:v>
      </x:c>
      <x:c r="B23" s="111" t="s">
        <x:v>88</x:v>
      </x:c>
      <x:c r="C23" s="111" t="n">
        <x:f>COUNTIFS(PlayerMatchHistory[Player],$A23,PlayerMatchHistory[Result],C$15)+COUNTIFS(PlayerMatchHistory[Player],"All",PlayerMatchHistory[Team],$B23,PlayerMatchHistory[Result],C$15)</x:f>
        <x:v>4</x:v>
      </x:c>
      <x:c r="D23" s="111" t="n">
        <x:f>COUNTIFS(PlayerMatchHistory[Player],$A23,PlayerMatchHistory[Result],D$15)+COUNTIFS(PlayerMatchHistory[Player],"All",PlayerMatchHistory[Team],$B23,PlayerMatchHistory[Result],D$15)</x:f>
        <x:v>11</x:v>
      </x:c>
      <x:c r="E23" s="111" t="n">
        <x:f>COUNTIFS(PlayerMatchHistory[Player],$A23,PlayerMatchHistory[Result],E$15)+COUNTIFS(PlayerMatchHistory[Player],"All",PlayerMatchHistory[Team],$B23,PlayerMatchHistory[Result],E$15)</x:f>
        <x:v>0</x:v>
      </x:c>
      <x:c r="F23" s="112">
        <x:f t="shared" si="0"/>
        <x:v>0.26666666666666666</x:v>
      </x:c>
      <x:c r="G23" s="11"/>
      <x:c r="H23" s="110"/>
      <x:c r="I23" s="111"/>
      <x:c r="J23" s="111"/>
      <x:c r="K23" s="111"/>
      <x:c r="L23" s="111"/>
      <x:c r="M23" s="112"/>
    </x:row>
    <x:row r="24" ht="13.5">
      <x:c r="A24" s="11"/>
      <x:c r="B24" s="11"/>
      <x:c r="C24" s="11"/>
      <x:c r="D24" s="11"/>
      <x:c r="E24" s="97"/>
      <x:c r="F24" s="96"/>
      <x:c r="G24" s="11"/>
      <x:c r="H24" s="110"/>
      <x:c r="I24" s="111"/>
      <x:c r="J24" s="111"/>
      <x:c r="K24" s="111"/>
      <x:c r="L24" s="111"/>
      <x:c r="M24" s="112"/>
    </x:row>
    <x:row r="25" ht="13.5">
      <x:c r="A25" s="11"/>
      <x:c r="B25" s="11"/>
      <x:c r="C25" s="11"/>
      <x:c r="D25" s="11"/>
      <x:c r="E25" s="94"/>
      <x:c r="F25" s="11"/>
      <x:c r="G25" s="11"/>
      <x:c r="H25" s="11"/>
      <x:c r="I25" s="11"/>
      <x:c r="J25" s="11"/>
      <x:c r="K25" s="11"/>
      <x:c r="L25" s="95"/>
      <x:c r="M25" s="11"/>
      <x:c r="N25" s="11"/>
    </x:row>
    <x:row r="26" ht="24" customHeight="1">
      <x:c r="A26" s="121" t="s">
        <x:v>107</x:v>
      </x:c>
      <x:c r="B26" s="122"/>
      <x:c r="C26" s="122"/>
      <x:c r="D26" s="123"/>
      <x:c r="E26" s="122"/>
      <x:c r="F26" s="122"/>
      <x:c r="G26" s="122"/>
      <x:c r="H26" s="122"/>
      <x:c r="I26" s="122"/>
      <x:c r="J26" s="122"/>
    </x:row>
    <x:row r="27" ht="21" customHeight="1">
      <x:c r="A27" s="98" t="s">
        <x:v>108</x:v>
      </x:c>
      <x:c r="B27" s="99"/>
      <x:c r="C27" s="99"/>
      <x:c r="D27" s="100"/>
      <x:c r="E27" s="119"/>
      <x:c r="F27" s="99"/>
      <x:c r="G27" s="99"/>
      <x:c r="H27" s="99"/>
      <x:c r="I27" s="99"/>
      <x:c r="J27" s="99"/>
    </x:row>
    <x:row r="28" ht="24.950000762939453" customHeight="1">
      <x:c r="A28" s="128" t="s">
        <x:v>93</x:v>
      </x:c>
      <x:c r="B28" s="128" t="s">
        <x:v>109</x:v>
      </x:c>
      <x:c r="C28" s="128" t="s">
        <x:v>110</x:v>
      </x:c>
      <x:c r="D28" s="128" t="s">
        <x:v>8</x:v>
      </x:c>
      <x:c r="E28" s="128" t="s">
        <x:v>80</x:v>
      </x:c>
      <x:c r="F28" s="128" t="s">
        <x:v>81</x:v>
      </x:c>
      <x:c r="G28" s="128" t="s">
        <x:v>111</x:v>
      </x:c>
      <x:c r="H28" s="128" t="s">
        <x:v>112</x:v>
      </x:c>
      <x:c r="I28" s="128" t="s">
        <x:v>113</x:v>
      </x:c>
      <x:c r="J28" s="128" t="s">
        <x:v>114</x:v>
      </x:c>
      <x:c r="L28" s="105"/>
      <x:c r="M28" s="105"/>
      <x:c r="N28" s="105"/>
    </x:row>
    <x:row r="29" ht="13.5" customHeight="1">
      <x:c r="A29" s="129">
        <x:v>2019</x:v>
      </x:c>
      <x:c r="B29" s="143" t="s">
        <x:v>115</x:v>
      </x:c>
      <x:c r="C29" s="124" t="s">
        <x:v>116</x:v>
      </x:c>
      <x:c r="D29" s="124"/>
      <x:c r="E29" s="125" t="s">
        <x:v>42</x:v>
      </x:c>
      <x:c r="F29" s="125" t="s">
        <x:v>88</x:v>
      </x:c>
      <x:c r="G29" s="125" t="s">
        <x:v>51</x:v>
      </x:c>
      <x:c r="H29" s="125"/>
      <x:c r="I29" s="126" t="s">
        <x:v>104</x:v>
      </x:c>
      <x:c r="J29" s="141" t="s">
        <x:v>117</x:v>
      </x:c>
      <x:c r="L29" s="105"/>
      <x:c r="M29" s="105"/>
      <x:c r="N29" s="105"/>
    </x:row>
    <x:row r="30" ht="13.5" customHeight="1">
      <x:c r="A30" s="129">
        <x:v>2019</x:v>
      </x:c>
      <x:c r="B30" s="124" t="s">
        <x:v>115</x:v>
      </x:c>
      <x:c r="C30" s="124" t="s">
        <x:v>116</x:v>
      </x:c>
      <x:c r="D30" s="124"/>
      <x:c r="E30" s="125" t="s">
        <x:v>51</x:v>
      </x:c>
      <x:c r="F30" s="125" t="s">
        <x:v>88</x:v>
      </x:c>
      <x:c r="G30" s="125" t="s">
        <x:v>42</x:v>
      </x:c>
      <x:c r="H30" s="125"/>
      <x:c r="I30" s="126" t="s">
        <x:v>104</x:v>
      </x:c>
      <x:c r="J30" s="125" t="s">
        <x:v>117</x:v>
      </x:c>
      <x:c r="L30" s="105"/>
      <x:c r="M30" s="105"/>
      <x:c r="N30" s="105"/>
    </x:row>
    <x:row r="31" ht="13.5" customHeight="1">
      <x:c r="A31" s="130">
        <x:v>2019</x:v>
      </x:c>
      <x:c r="B31" s="113" t="s">
        <x:v>115</x:v>
      </x:c>
      <x:c r="C31" s="113" t="s">
        <x:v>116</x:v>
      </x:c>
      <x:c r="D31" s="113"/>
      <x:c r="E31" s="114" t="s">
        <x:v>43</x:v>
      </x:c>
      <x:c r="F31" s="114" t="s">
        <x:v>89</x:v>
      </x:c>
      <x:c r="G31" s="114" t="s">
        <x:v>52</x:v>
      </x:c>
      <x:c r="H31" s="114"/>
      <x:c r="I31" s="115" t="s">
        <x:v>103</x:v>
      </x:c>
      <x:c r="J31" s="116" t="s">
        <x:v>117</x:v>
      </x:c>
      <x:c r="L31" s="105"/>
      <x:c r="M31" s="105"/>
      <x:c r="N31" s="105"/>
    </x:row>
    <x:row r="32" ht="13.5" customHeight="1">
      <x:c r="A32" s="130">
        <x:v>2019</x:v>
      </x:c>
      <x:c r="B32" s="113" t="s">
        <x:v>115</x:v>
      </x:c>
      <x:c r="C32" s="113" t="s">
        <x:v>116</x:v>
      </x:c>
      <x:c r="D32" s="113"/>
      <x:c r="E32" s="114" t="s">
        <x:v>52</x:v>
      </x:c>
      <x:c r="F32" s="114" t="s">
        <x:v>89</x:v>
      </x:c>
      <x:c r="G32" s="114" t="s">
        <x:v>43</x:v>
      </x:c>
      <x:c r="H32" s="114"/>
      <x:c r="I32" s="115" t="s">
        <x:v>103</x:v>
      </x:c>
      <x:c r="J32" s="116" t="s">
        <x:v>117</x:v>
      </x:c>
      <x:c r="L32" s="105"/>
      <x:c r="M32" s="105"/>
      <x:c r="N32" s="105"/>
    </x:row>
    <x:row r="33" ht="13.5" customHeight="1">
      <x:c r="A33" s="129">
        <x:v>2019</x:v>
      </x:c>
      <x:c r="B33" s="143" t="s">
        <x:v>118</x:v>
      </x:c>
      <x:c r="C33" s="124" t="s">
        <x:v>116</x:v>
      </x:c>
      <x:c r="D33" s="124"/>
      <x:c r="E33" s="125" t="s">
        <x:v>50</x:v>
      </x:c>
      <x:c r="F33" s="125" t="s">
        <x:v>88</x:v>
      </x:c>
      <x:c r="G33" s="125" t="s">
        <x:v>41</x:v>
      </x:c>
      <x:c r="H33" s="125"/>
      <x:c r="I33" s="126" t="s">
        <x:v>104</x:v>
      </x:c>
      <x:c r="J33" s="141" t="s">
        <x:v>119</x:v>
      </x:c>
      <x:c r="L33" s="105"/>
      <x:c r="M33" s="105"/>
      <x:c r="N33" s="105"/>
    </x:row>
    <x:row r="34" ht="13.5" customHeight="1">
      <x:c r="A34" s="129">
        <x:v>2019</x:v>
      </x:c>
      <x:c r="B34" s="124" t="s">
        <x:v>118</x:v>
      </x:c>
      <x:c r="C34" s="124" t="s">
        <x:v>116</x:v>
      </x:c>
      <x:c r="D34" s="124"/>
      <x:c r="E34" s="125" t="s">
        <x:v>41</x:v>
      </x:c>
      <x:c r="F34" s="125" t="s">
        <x:v>88</x:v>
      </x:c>
      <x:c r="G34" s="125" t="s">
        <x:v>50</x:v>
      </x:c>
      <x:c r="H34" s="125"/>
      <x:c r="I34" s="126" t="s">
        <x:v>104</x:v>
      </x:c>
      <x:c r="J34" s="125" t="s">
        <x:v>119</x:v>
      </x:c>
      <x:c r="L34" s="105"/>
      <x:c r="M34" s="105"/>
      <x:c r="N34" s="105"/>
    </x:row>
    <x:row r="35" ht="13.5" customHeight="1">
      <x:c r="A35" s="130">
        <x:v>2019</x:v>
      </x:c>
      <x:c r="B35" s="113" t="s">
        <x:v>118</x:v>
      </x:c>
      <x:c r="C35" s="113" t="s">
        <x:v>116</x:v>
      </x:c>
      <x:c r="D35" s="113"/>
      <x:c r="E35" s="114" t="s">
        <x:v>44</x:v>
      </x:c>
      <x:c r="F35" s="114" t="s">
        <x:v>89</x:v>
      </x:c>
      <x:c r="G35" s="114" t="s">
        <x:v>53</x:v>
      </x:c>
      <x:c r="H35" s="114"/>
      <x:c r="I35" s="115" t="s">
        <x:v>103</x:v>
      </x:c>
      <x:c r="J35" s="116" t="s">
        <x:v>119</x:v>
      </x:c>
      <x:c r="L35" s="105"/>
      <x:c r="M35" s="105"/>
      <x:c r="N35" s="105"/>
    </x:row>
    <x:row r="36" ht="13.5" customHeight="1">
      <x:c r="A36" s="130">
        <x:v>2019</x:v>
      </x:c>
      <x:c r="B36" s="113" t="s">
        <x:v>118</x:v>
      </x:c>
      <x:c r="C36" s="113" t="s">
        <x:v>116</x:v>
      </x:c>
      <x:c r="D36" s="113"/>
      <x:c r="E36" s="114" t="s">
        <x:v>53</x:v>
      </x:c>
      <x:c r="F36" s="114" t="s">
        <x:v>89</x:v>
      </x:c>
      <x:c r="G36" s="114" t="s">
        <x:v>44</x:v>
      </x:c>
      <x:c r="H36" s="114"/>
      <x:c r="I36" s="115" t="s">
        <x:v>103</x:v>
      </x:c>
      <x:c r="J36" s="116" t="s">
        <x:v>119</x:v>
      </x:c>
      <x:c r="L36" s="105"/>
      <x:c r="M36" s="105"/>
      <x:c r="N36" s="120"/>
    </x:row>
    <x:row r="37" ht="13.5" customHeight="1">
      <x:c r="A37" s="129">
        <x:v>2019</x:v>
      </x:c>
      <x:c r="B37" s="143" t="s">
        <x:v>120</x:v>
      </x:c>
      <x:c r="C37" s="124" t="s">
        <x:v>16</x:v>
      </x:c>
      <x:c r="D37" s="124"/>
      <x:c r="E37" s="125" t="s">
        <x:v>42</x:v>
      </x:c>
      <x:c r="F37" s="125" t="s">
        <x:v>88</x:v>
      </x:c>
      <x:c r="G37" s="125" t="s">
        <x:v>41</x:v>
      </x:c>
      <x:c r="H37" s="125"/>
      <x:c r="I37" s="126" t="s">
        <x:v>103</x:v>
      </x:c>
      <x:c r="J37" s="141" t="s">
        <x:v>121</x:v>
      </x:c>
      <x:c r="L37" s="105"/>
      <x:c r="M37" s="105"/>
      <x:c r="N37" s="105"/>
    </x:row>
    <x:row r="38" ht="13.5" customHeight="1">
      <x:c r="A38" s="129">
        <x:v>2019</x:v>
      </x:c>
      <x:c r="B38" s="124" t="s">
        <x:v>120</x:v>
      </x:c>
      <x:c r="C38" s="124" t="s">
        <x:v>16</x:v>
      </x:c>
      <x:c r="D38" s="124"/>
      <x:c r="E38" s="125" t="s">
        <x:v>41</x:v>
      </x:c>
      <x:c r="F38" s="125" t="s">
        <x:v>88</x:v>
      </x:c>
      <x:c r="G38" s="125" t="s">
        <x:v>42</x:v>
      </x:c>
      <x:c r="H38" s="125"/>
      <x:c r="I38" s="126" t="s">
        <x:v>103</x:v>
      </x:c>
      <x:c r="J38" s="125" t="s">
        <x:v>121</x:v>
      </x:c>
      <x:c r="L38" s="105"/>
      <x:c r="M38" s="105"/>
      <x:c r="N38" s="105"/>
    </x:row>
    <x:row r="39" ht="13.5" customHeight="1">
      <x:c r="A39" s="130">
        <x:v>2019</x:v>
      </x:c>
      <x:c r="B39" s="113" t="s">
        <x:v>120</x:v>
      </x:c>
      <x:c r="C39" s="113" t="s">
        <x:v>16</x:v>
      </x:c>
      <x:c r="D39" s="113"/>
      <x:c r="E39" s="114" t="s">
        <x:v>43</x:v>
      </x:c>
      <x:c r="F39" s="114" t="s">
        <x:v>89</x:v>
      </x:c>
      <x:c r="G39" s="114" t="s">
        <x:v>53</x:v>
      </x:c>
      <x:c r="H39" s="114"/>
      <x:c r="I39" s="115" t="s">
        <x:v>104</x:v>
      </x:c>
      <x:c r="J39" s="116" t="s">
        <x:v>121</x:v>
      </x:c>
      <x:c r="L39" s="105"/>
      <x:c r="M39" s="105"/>
      <x:c r="N39" s="105"/>
    </x:row>
    <x:row r="40" ht="13.5" customHeight="1">
      <x:c r="A40" s="130">
        <x:v>2019</x:v>
      </x:c>
      <x:c r="B40" s="113" t="s">
        <x:v>120</x:v>
      </x:c>
      <x:c r="C40" s="113" t="s">
        <x:v>16</x:v>
      </x:c>
      <x:c r="D40" s="113"/>
      <x:c r="E40" s="114" t="s">
        <x:v>53</x:v>
      </x:c>
      <x:c r="F40" s="114" t="s">
        <x:v>89</x:v>
      </x:c>
      <x:c r="G40" s="114" t="s">
        <x:v>43</x:v>
      </x:c>
      <x:c r="H40" s="114"/>
      <x:c r="I40" s="115" t="s">
        <x:v>104</x:v>
      </x:c>
      <x:c r="J40" s="116" t="s">
        <x:v>121</x:v>
      </x:c>
      <x:c r="L40" s="105"/>
      <x:c r="M40" s="105"/>
      <x:c r="N40" s="105"/>
    </x:row>
    <x:row r="41" ht="13.5" customHeight="1">
      <x:c r="A41" s="129">
        <x:v>2019</x:v>
      </x:c>
      <x:c r="B41" s="143" t="s">
        <x:v>122</x:v>
      </x:c>
      <x:c r="C41" s="124" t="s">
        <x:v>16</x:v>
      </x:c>
      <x:c r="D41" s="124"/>
      <x:c r="E41" s="125" t="s">
        <x:v>51</x:v>
      </x:c>
      <x:c r="F41" s="125" t="s">
        <x:v>88</x:v>
      </x:c>
      <x:c r="G41" s="125" t="s">
        <x:v>50</x:v>
      </x:c>
      <x:c r="H41" s="125"/>
      <x:c r="I41" s="126" t="s">
        <x:v>104</x:v>
      </x:c>
      <x:c r="J41" s="141" t="s">
        <x:v>123</x:v>
      </x:c>
      <x:c r="L41" s="105"/>
      <x:c r="M41" s="105"/>
      <x:c r="N41" s="105"/>
    </x:row>
    <x:row r="42" ht="13.5" customHeight="1">
      <x:c r="A42" s="129">
        <x:v>2019</x:v>
      </x:c>
      <x:c r="B42" s="124" t="s">
        <x:v>122</x:v>
      </x:c>
      <x:c r="C42" s="124" t="s">
        <x:v>16</x:v>
      </x:c>
      <x:c r="D42" s="124"/>
      <x:c r="E42" s="125" t="s">
        <x:v>50</x:v>
      </x:c>
      <x:c r="F42" s="125" t="s">
        <x:v>88</x:v>
      </x:c>
      <x:c r="G42" s="125" t="s">
        <x:v>51</x:v>
      </x:c>
      <x:c r="H42" s="125"/>
      <x:c r="I42" s="126" t="s">
        <x:v>104</x:v>
      </x:c>
      <x:c r="J42" s="141" t="s">
        <x:v>123</x:v>
      </x:c>
      <x:c r="L42" s="105"/>
      <x:c r="M42" s="105"/>
      <x:c r="N42" s="105"/>
    </x:row>
    <x:row r="43" ht="13.5" customHeight="1">
      <x:c r="A43" s="130">
        <x:v>2019</x:v>
      </x:c>
      <x:c r="B43" s="113" t="s">
        <x:v>122</x:v>
      </x:c>
      <x:c r="C43" s="113" t="s">
        <x:v>16</x:v>
      </x:c>
      <x:c r="D43" s="113"/>
      <x:c r="E43" s="114" t="s">
        <x:v>44</x:v>
      </x:c>
      <x:c r="F43" s="114" t="s">
        <x:v>89</x:v>
      </x:c>
      <x:c r="G43" s="114" t="s">
        <x:v>52</x:v>
      </x:c>
      <x:c r="H43" s="114"/>
      <x:c r="I43" s="115" t="s">
        <x:v>103</x:v>
      </x:c>
      <x:c r="J43" s="141" t="s">
        <x:v>123</x:v>
      </x:c>
      <x:c r="L43" s="105"/>
      <x:c r="M43" s="105"/>
      <x:c r="N43" s="105"/>
    </x:row>
    <x:row r="44" ht="13.5" customHeight="1">
      <x:c r="A44" s="130">
        <x:v>2019</x:v>
      </x:c>
      <x:c r="B44" s="113" t="s">
        <x:v>122</x:v>
      </x:c>
      <x:c r="C44" s="113" t="s">
        <x:v>16</x:v>
      </x:c>
      <x:c r="D44" s="113"/>
      <x:c r="E44" s="114" t="s">
        <x:v>52</x:v>
      </x:c>
      <x:c r="F44" s="114" t="s">
        <x:v>89</x:v>
      </x:c>
      <x:c r="G44" s="114" t="s">
        <x:v>44</x:v>
      </x:c>
      <x:c r="H44" s="114"/>
      <x:c r="I44" s="115" t="s">
        <x:v>103</x:v>
      </x:c>
      <x:c r="J44" s="141" t="s">
        <x:v>123</x:v>
      </x:c>
      <x:c r="L44" s="105"/>
      <x:c r="M44" s="105"/>
      <x:c r="N44" s="105"/>
    </x:row>
    <x:row r="45" ht="13.5" customHeight="1">
      <x:c r="A45" s="129">
        <x:v>2019</x:v>
      </x:c>
      <x:c r="B45" s="124" t="s">
        <x:v>124</x:v>
      </x:c>
      <x:c r="C45" s="124" t="s">
        <x:v>125</x:v>
      </x:c>
      <x:c r="D45" s="124"/>
      <x:c r="E45" s="125" t="s">
        <x:v>42</x:v>
      </x:c>
      <x:c r="F45" s="125" t="s">
        <x:v>88</x:v>
      </x:c>
      <x:c r="G45" s="125"/>
      <x:c r="H45" s="125" t="s">
        <x:v>43</x:v>
      </x:c>
      <x:c r="I45" s="126" t="s">
        <x:v>105</x:v>
      </x:c>
      <x:c r="J45" s="125" t="s">
        <x:v>126</x:v>
      </x:c>
      <x:c r="L45" s="105"/>
      <x:c r="M45" s="105"/>
      <x:c r="N45" s="105"/>
    </x:row>
    <x:row r="46" ht="13.5" customHeight="1">
      <x:c r="A46" s="130">
        <x:v>2019</x:v>
      </x:c>
      <x:c r="B46" s="113" t="s">
        <x:v>124</x:v>
      </x:c>
      <x:c r="C46" s="113" t="s">
        <x:v>125</x:v>
      </x:c>
      <x:c r="D46" s="113"/>
      <x:c r="E46" s="114" t="s">
        <x:v>43</x:v>
      </x:c>
      <x:c r="F46" s="114" t="s">
        <x:v>89</x:v>
      </x:c>
      <x:c r="G46" s="114"/>
      <x:c r="H46" s="114" t="s">
        <x:v>42</x:v>
      </x:c>
      <x:c r="I46" s="115" t="s">
        <x:v>105</x:v>
      </x:c>
      <x:c r="J46" s="103" t="s">
        <x:v>126</x:v>
      </x:c>
      <x:c r="L46" s="105"/>
      <x:c r="M46" s="105"/>
      <x:c r="N46" s="105"/>
    </x:row>
    <x:row r="47" ht="13.5" customHeight="1">
      <x:c r="A47" s="129">
        <x:v>2019</x:v>
      </x:c>
      <x:c r="B47" s="124" t="s">
        <x:v>124</x:v>
      </x:c>
      <x:c r="C47" s="124" t="s">
        <x:v>125</x:v>
      </x:c>
      <x:c r="D47" s="124"/>
      <x:c r="E47" s="125" t="s">
        <x:v>41</x:v>
      </x:c>
      <x:c r="F47" s="125" t="s">
        <x:v>88</x:v>
      </x:c>
      <x:c r="G47" s="125"/>
      <x:c r="H47" s="125" t="s">
        <x:v>44</x:v>
      </x:c>
      <x:c r="I47" s="126" t="s">
        <x:v>104</x:v>
      </x:c>
      <x:c r="J47" s="141" t="s">
        <x:v>117</x:v>
      </x:c>
      <x:c r="L47" s="105"/>
      <x:c r="M47" s="105"/>
      <x:c r="N47" s="105"/>
    </x:row>
    <x:row r="48" ht="13.5" customHeight="1">
      <x:c r="A48" s="130">
        <x:v>2019</x:v>
      </x:c>
      <x:c r="B48" s="113" t="s">
        <x:v>124</x:v>
      </x:c>
      <x:c r="C48" s="113" t="s">
        <x:v>125</x:v>
      </x:c>
      <x:c r="D48" s="113"/>
      <x:c r="E48" s="114" t="s">
        <x:v>44</x:v>
      </x:c>
      <x:c r="F48" s="114" t="s">
        <x:v>89</x:v>
      </x:c>
      <x:c r="G48" s="114"/>
      <x:c r="H48" s="114" t="s">
        <x:v>41</x:v>
      </x:c>
      <x:c r="I48" s="115" t="s">
        <x:v>103</x:v>
      </x:c>
      <x:c r="J48" s="141" t="s">
        <x:v>117</x:v>
      </x:c>
      <x:c r="L48" s="105"/>
      <x:c r="M48" s="105"/>
      <x:c r="N48" s="105"/>
    </x:row>
    <x:row r="49" ht="13.5" customHeight="1">
      <x:c r="A49" s="129">
        <x:v>2019</x:v>
      </x:c>
      <x:c r="B49" s="124" t="s">
        <x:v>124</x:v>
      </x:c>
      <x:c r="C49" s="124" t="s">
        <x:v>125</x:v>
      </x:c>
      <x:c r="D49" s="124"/>
      <x:c r="E49" s="125" t="s">
        <x:v>51</x:v>
      </x:c>
      <x:c r="F49" s="125" t="s">
        <x:v>88</x:v>
      </x:c>
      <x:c r="G49" s="125"/>
      <x:c r="H49" s="125" t="s">
        <x:v>53</x:v>
      </x:c>
      <x:c r="I49" s="126" t="s">
        <x:v>104</x:v>
      </x:c>
      <x:c r="J49" s="141" t="s">
        <x:v>127</x:v>
      </x:c>
      <x:c r="L49" s="105"/>
      <x:c r="M49" s="105"/>
      <x:c r="N49" s="105"/>
    </x:row>
    <x:row r="50" ht="13.5" customHeight="1">
      <x:c r="A50" s="130">
        <x:v>2019</x:v>
      </x:c>
      <x:c r="B50" s="113" t="s">
        <x:v>124</x:v>
      </x:c>
      <x:c r="C50" s="113" t="s">
        <x:v>125</x:v>
      </x:c>
      <x:c r="D50" s="113"/>
      <x:c r="E50" s="114" t="s">
        <x:v>53</x:v>
      </x:c>
      <x:c r="F50" s="114" t="s">
        <x:v>89</x:v>
      </x:c>
      <x:c r="G50" s="114"/>
      <x:c r="H50" s="114" t="s">
        <x:v>51</x:v>
      </x:c>
      <x:c r="I50" s="115" t="s">
        <x:v>103</x:v>
      </x:c>
      <x:c r="J50" s="116" t="s">
        <x:v>127</x:v>
      </x:c>
      <x:c r="L50" s="105"/>
      <x:c r="M50" s="105"/>
      <x:c r="N50" s="105"/>
    </x:row>
    <x:row r="51" ht="13.5" customHeight="1">
      <x:c r="A51" s="129">
        <x:v>2019</x:v>
      </x:c>
      <x:c r="B51" s="124" t="s">
        <x:v>124</x:v>
      </x:c>
      <x:c r="C51" s="124" t="s">
        <x:v>125</x:v>
      </x:c>
      <x:c r="D51" s="124"/>
      <x:c r="E51" s="125" t="s">
        <x:v>50</x:v>
      </x:c>
      <x:c r="F51" s="125" t="s">
        <x:v>88</x:v>
      </x:c>
      <x:c r="G51" s="125"/>
      <x:c r="H51" s="125" t="s">
        <x:v>52</x:v>
      </x:c>
      <x:c r="I51" s="126" t="s">
        <x:v>104</x:v>
      </x:c>
      <x:c r="J51" s="141" t="s">
        <x:v>117</x:v>
      </x:c>
      <x:c r="L51" s="105"/>
      <x:c r="M51" s="105"/>
      <x:c r="N51" s="105"/>
    </x:row>
    <x:row r="52" ht="13.5" customHeight="1">
      <x:c r="A52" s="130">
        <x:v>2019</x:v>
      </x:c>
      <x:c r="B52" s="113" t="s">
        <x:v>124</x:v>
      </x:c>
      <x:c r="C52" s="113" t="s">
        <x:v>125</x:v>
      </x:c>
      <x:c r="D52" s="113"/>
      <x:c r="E52" s="114" t="s">
        <x:v>52</x:v>
      </x:c>
      <x:c r="F52" s="114" t="s">
        <x:v>89</x:v>
      </x:c>
      <x:c r="G52" s="114"/>
      <x:c r="H52" s="114" t="s">
        <x:v>50</x:v>
      </x:c>
      <x:c r="I52" s="115" t="s">
        <x:v>103</x:v>
      </x:c>
      <x:c r="J52" s="116" t="s">
        <x:v>117</x:v>
      </x:c>
      <x:c r="L52" s="105"/>
      <x:c r="M52" s="105"/>
      <x:c r="N52" s="105"/>
    </x:row>
    <x:row r="53" ht="13.5" customHeight="1">
      <x:c r="A53" s="129">
        <x:v>2020</x:v>
      </x:c>
      <x:c r="B53" s="143" t="s">
        <x:v>115</x:v>
      </x:c>
      <x:c r="C53" s="124" t="s">
        <x:v>116</x:v>
      </x:c>
      <x:c r="D53" s="124"/>
      <x:c r="E53" s="125" t="s">
        <x:v>42</x:v>
      </x:c>
      <x:c r="F53" s="125" t="s">
        <x:v>88</x:v>
      </x:c>
      <x:c r="G53" s="125" t="s">
        <x:v>50</x:v>
      </x:c>
      <x:c r="H53" s="125"/>
      <x:c r="I53" s="126" t="s">
        <x:v>103</x:v>
      </x:c>
      <x:c r="J53" s="141" t="s">
        <x:v>128</x:v>
      </x:c>
      <x:c r="L53" s="105"/>
      <x:c r="M53" s="105"/>
      <x:c r="N53" s="105"/>
    </x:row>
    <x:row r="54" ht="13.5" customHeight="1">
      <x:c r="A54" s="129">
        <x:v>2020</x:v>
      </x:c>
      <x:c r="B54" s="124" t="s">
        <x:v>115</x:v>
      </x:c>
      <x:c r="C54" s="124" t="s">
        <x:v>116</x:v>
      </x:c>
      <x:c r="D54" s="124"/>
      <x:c r="E54" s="125" t="s">
        <x:v>50</x:v>
      </x:c>
      <x:c r="F54" s="125" t="s">
        <x:v>88</x:v>
      </x:c>
      <x:c r="G54" s="125" t="s">
        <x:v>42</x:v>
      </x:c>
      <x:c r="H54" s="125"/>
      <x:c r="I54" s="126" t="s">
        <x:v>103</x:v>
      </x:c>
      <x:c r="J54" s="125" t="s">
        <x:v>128</x:v>
      </x:c>
      <x:c r="L54" s="105"/>
      <x:c r="M54" s="105"/>
      <x:c r="N54" s="105"/>
    </x:row>
    <x:row r="55" ht="13.5" customHeight="1">
      <x:c r="A55" s="130">
        <x:v>2020</x:v>
      </x:c>
      <x:c r="B55" s="113" t="s">
        <x:v>115</x:v>
      </x:c>
      <x:c r="C55" s="113" t="s">
        <x:v>116</x:v>
      </x:c>
      <x:c r="D55" s="113"/>
      <x:c r="E55" s="114" t="s">
        <x:v>43</x:v>
      </x:c>
      <x:c r="F55" s="114" t="s">
        <x:v>89</x:v>
      </x:c>
      <x:c r="G55" s="114" t="s">
        <x:v>52</x:v>
      </x:c>
      <x:c r="H55" s="114"/>
      <x:c r="I55" s="115" t="s">
        <x:v>104</x:v>
      </x:c>
      <x:c r="J55" s="116" t="s">
        <x:v>128</x:v>
      </x:c>
      <x:c r="L55" s="105"/>
      <x:c r="M55" s="105"/>
      <x:c r="N55" s="105"/>
    </x:row>
    <x:row r="56" ht="13.5" customHeight="1">
      <x:c r="A56" s="130">
        <x:v>2020</x:v>
      </x:c>
      <x:c r="B56" s="113" t="s">
        <x:v>115</x:v>
      </x:c>
      <x:c r="C56" s="113" t="s">
        <x:v>116</x:v>
      </x:c>
      <x:c r="D56" s="113"/>
      <x:c r="E56" s="114" t="s">
        <x:v>52</x:v>
      </x:c>
      <x:c r="F56" s="114" t="s">
        <x:v>89</x:v>
      </x:c>
      <x:c r="G56" s="114" t="s">
        <x:v>43</x:v>
      </x:c>
      <x:c r="H56" s="114"/>
      <x:c r="I56" s="115" t="s">
        <x:v>104</x:v>
      </x:c>
      <x:c r="J56" s="116" t="s">
        <x:v>128</x:v>
      </x:c>
      <x:c r="L56" s="105"/>
      <x:c r="M56" s="105"/>
      <x:c r="N56" s="105"/>
    </x:row>
    <x:row r="57" ht="13.5" customHeight="1">
      <x:c r="A57" s="129">
        <x:v>2020</x:v>
      </x:c>
      <x:c r="B57" s="143" t="s">
        <x:v>118</x:v>
      </x:c>
      <x:c r="C57" s="124" t="s">
        <x:v>116</x:v>
      </x:c>
      <x:c r="D57" s="124"/>
      <x:c r="E57" s="125" t="s">
        <x:v>41</x:v>
      </x:c>
      <x:c r="F57" s="125" t="s">
        <x:v>88</x:v>
      </x:c>
      <x:c r="G57" s="125" t="s">
        <x:v>51</x:v>
      </x:c>
      <x:c r="H57" s="125"/>
      <x:c r="I57" s="126" t="s">
        <x:v>103</x:v>
      </x:c>
      <x:c r="J57" s="141" t="s">
        <x:v>129</x:v>
      </x:c>
      <x:c r="L57" s="105"/>
      <x:c r="M57" s="105"/>
      <x:c r="N57" s="105"/>
    </x:row>
    <x:row r="58" ht="13.5" customHeight="1">
      <x:c r="A58" s="129">
        <x:v>2020</x:v>
      </x:c>
      <x:c r="B58" s="124" t="s">
        <x:v>118</x:v>
      </x:c>
      <x:c r="C58" s="124" t="s">
        <x:v>116</x:v>
      </x:c>
      <x:c r="D58" s="124"/>
      <x:c r="E58" s="125" t="s">
        <x:v>51</x:v>
      </x:c>
      <x:c r="F58" s="125" t="s">
        <x:v>88</x:v>
      </x:c>
      <x:c r="G58" s="125" t="s">
        <x:v>41</x:v>
      </x:c>
      <x:c r="H58" s="125"/>
      <x:c r="I58" s="126" t="s">
        <x:v>103</x:v>
      </x:c>
      <x:c r="J58" s="125" t="s">
        <x:v>129</x:v>
      </x:c>
      <x:c r="L58" s="105"/>
      <x:c r="M58" s="105"/>
      <x:c r="N58" s="105"/>
    </x:row>
    <x:row r="59" ht="13.5" customHeight="1">
      <x:c r="A59" s="130">
        <x:v>2020</x:v>
      </x:c>
      <x:c r="B59" s="113" t="s">
        <x:v>118</x:v>
      </x:c>
      <x:c r="C59" s="113" t="s">
        <x:v>116</x:v>
      </x:c>
      <x:c r="D59" s="113"/>
      <x:c r="E59" s="114" t="s">
        <x:v>44</x:v>
      </x:c>
      <x:c r="F59" s="114" t="s">
        <x:v>89</x:v>
      </x:c>
      <x:c r="G59" s="114" t="s">
        <x:v>53</x:v>
      </x:c>
      <x:c r="H59" s="114"/>
      <x:c r="I59" s="115" t="s">
        <x:v>104</x:v>
      </x:c>
      <x:c r="J59" s="116" t="s">
        <x:v>129</x:v>
      </x:c>
      <x:c r="L59" s="105"/>
      <x:c r="M59" s="105"/>
      <x:c r="N59" s="105"/>
    </x:row>
    <x:row r="60" ht="13.5" customHeight="1">
      <x:c r="A60" s="130">
        <x:v>2020</x:v>
      </x:c>
      <x:c r="B60" s="113" t="s">
        <x:v>118</x:v>
      </x:c>
      <x:c r="C60" s="113" t="s">
        <x:v>116</x:v>
      </x:c>
      <x:c r="D60" s="113"/>
      <x:c r="E60" s="114" t="s">
        <x:v>53</x:v>
      </x:c>
      <x:c r="F60" s="114" t="s">
        <x:v>89</x:v>
      </x:c>
      <x:c r="G60" s="114" t="s">
        <x:v>44</x:v>
      </x:c>
      <x:c r="H60" s="114"/>
      <x:c r="I60" s="115" t="s">
        <x:v>104</x:v>
      </x:c>
      <x:c r="J60" s="116" t="s">
        <x:v>129</x:v>
      </x:c>
      <x:c r="L60" s="105"/>
      <x:c r="M60" s="105"/>
      <x:c r="N60" s="105"/>
    </x:row>
    <x:row r="61" ht="13.5" customHeight="1">
      <x:c r="A61" s="129">
        <x:v>2020</x:v>
      </x:c>
      <x:c r="B61" s="143" t="s">
        <x:v>120</x:v>
      </x:c>
      <x:c r="C61" s="124" t="s">
        <x:v>16</x:v>
      </x:c>
      <x:c r="D61" s="124"/>
      <x:c r="E61" s="125" t="s">
        <x:v>41</x:v>
      </x:c>
      <x:c r="F61" s="125" t="s">
        <x:v>88</x:v>
      </x:c>
      <x:c r="G61" s="125" t="s">
        <x:v>51</x:v>
      </x:c>
      <x:c r="H61" s="125"/>
      <x:c r="I61" s="126" t="s">
        <x:v>104</x:v>
      </x:c>
      <x:c r="J61" s="141" t="s">
        <x:v>130</x:v>
      </x:c>
      <x:c r="L61" s="105"/>
      <x:c r="M61" s="105"/>
      <x:c r="N61" s="105"/>
    </x:row>
    <x:row r="62" ht="13.5" customHeight="1">
      <x:c r="A62" s="129">
        <x:v>2020</x:v>
      </x:c>
      <x:c r="B62" s="124" t="s">
        <x:v>120</x:v>
      </x:c>
      <x:c r="C62" s="124" t="s">
        <x:v>16</x:v>
      </x:c>
      <x:c r="D62" s="124"/>
      <x:c r="E62" s="125" t="s">
        <x:v>51</x:v>
      </x:c>
      <x:c r="F62" s="125" t="s">
        <x:v>88</x:v>
      </x:c>
      <x:c r="G62" s="125" t="s">
        <x:v>41</x:v>
      </x:c>
      <x:c r="H62" s="125"/>
      <x:c r="I62" s="126" t="s">
        <x:v>104</x:v>
      </x:c>
      <x:c r="J62" s="125" t="s">
        <x:v>130</x:v>
      </x:c>
      <x:c r="L62" s="105"/>
      <x:c r="M62" s="105"/>
      <x:c r="N62" s="105"/>
    </x:row>
    <x:row r="63" ht="13.5" customHeight="1">
      <x:c r="A63" s="130">
        <x:v>2020</x:v>
      </x:c>
      <x:c r="B63" s="113" t="s">
        <x:v>120</x:v>
      </x:c>
      <x:c r="C63" s="113" t="s">
        <x:v>16</x:v>
      </x:c>
      <x:c r="D63" s="113"/>
      <x:c r="E63" s="114" t="s">
        <x:v>44</x:v>
      </x:c>
      <x:c r="F63" s="114" t="s">
        <x:v>89</x:v>
      </x:c>
      <x:c r="G63" s="114" t="s">
        <x:v>52</x:v>
      </x:c>
      <x:c r="H63" s="114"/>
      <x:c r="I63" s="115" t="s">
        <x:v>103</x:v>
      </x:c>
      <x:c r="J63" s="116" t="s">
        <x:v>130</x:v>
      </x:c>
      <x:c r="L63" s="105"/>
      <x:c r="M63" s="105"/>
      <x:c r="N63" s="105"/>
    </x:row>
    <x:row r="64" ht="13.5" customHeight="1">
      <x:c r="A64" s="130">
        <x:v>2020</x:v>
      </x:c>
      <x:c r="B64" s="113" t="s">
        <x:v>120</x:v>
      </x:c>
      <x:c r="C64" s="113" t="s">
        <x:v>16</x:v>
      </x:c>
      <x:c r="D64" s="113"/>
      <x:c r="E64" s="114" t="s">
        <x:v>52</x:v>
      </x:c>
      <x:c r="F64" s="114" t="s">
        <x:v>89</x:v>
      </x:c>
      <x:c r="G64" s="114" t="s">
        <x:v>44</x:v>
      </x:c>
      <x:c r="H64" s="114"/>
      <x:c r="I64" s="115" t="s">
        <x:v>103</x:v>
      </x:c>
      <x:c r="J64" s="116" t="s">
        <x:v>130</x:v>
      </x:c>
      <x:c r="L64" s="105"/>
      <x:c r="M64" s="105"/>
      <x:c r="N64" s="105"/>
    </x:row>
    <x:row r="65" ht="13.5" customHeight="1">
      <x:c r="A65" s="129">
        <x:v>2020</x:v>
      </x:c>
      <x:c r="B65" s="143" t="s">
        <x:v>122</x:v>
      </x:c>
      <x:c r="C65" s="124" t="s">
        <x:v>16</x:v>
      </x:c>
      <x:c r="D65" s="124"/>
      <x:c r="E65" s="125" t="s">
        <x:v>42</x:v>
      </x:c>
      <x:c r="F65" s="125" t="s">
        <x:v>88</x:v>
      </x:c>
      <x:c r="G65" s="125" t="s">
        <x:v>50</x:v>
      </x:c>
      <x:c r="H65" s="125"/>
      <x:c r="I65" s="126" t="s">
        <x:v>104</x:v>
      </x:c>
      <x:c r="J65" s="141" t="s">
        <x:v>127</x:v>
      </x:c>
      <x:c r="L65" s="105"/>
      <x:c r="M65" s="105"/>
      <x:c r="N65" s="105"/>
    </x:row>
    <x:row r="66" ht="13.5" customHeight="1">
      <x:c r="A66" s="129">
        <x:v>2020</x:v>
      </x:c>
      <x:c r="B66" s="124" t="s">
        <x:v>122</x:v>
      </x:c>
      <x:c r="C66" s="124" t="s">
        <x:v>16</x:v>
      </x:c>
      <x:c r="D66" s="124"/>
      <x:c r="E66" s="125" t="s">
        <x:v>50</x:v>
      </x:c>
      <x:c r="F66" s="125" t="s">
        <x:v>88</x:v>
      </x:c>
      <x:c r="G66" s="125" t="s">
        <x:v>42</x:v>
      </x:c>
      <x:c r="H66" s="125"/>
      <x:c r="I66" s="126" t="s">
        <x:v>104</x:v>
      </x:c>
      <x:c r="J66" s="125" t="s">
        <x:v>127</x:v>
      </x:c>
      <x:c r="L66" s="105"/>
      <x:c r="M66" s="105"/>
      <x:c r="N66" s="105"/>
    </x:row>
    <x:row r="67" ht="13.5" customHeight="1">
      <x:c r="A67" s="130">
        <x:v>2020</x:v>
      </x:c>
      <x:c r="B67" s="113" t="s">
        <x:v>122</x:v>
      </x:c>
      <x:c r="C67" s="113" t="s">
        <x:v>16</x:v>
      </x:c>
      <x:c r="D67" s="113"/>
      <x:c r="E67" s="114" t="s">
        <x:v>43</x:v>
      </x:c>
      <x:c r="F67" s="114" t="s">
        <x:v>89</x:v>
      </x:c>
      <x:c r="G67" s="114" t="s">
        <x:v>53</x:v>
      </x:c>
      <x:c r="H67" s="114"/>
      <x:c r="I67" s="115" t="s">
        <x:v>103</x:v>
      </x:c>
      <x:c r="J67" s="116" t="s">
        <x:v>127</x:v>
      </x:c>
      <x:c r="L67" s="105"/>
      <x:c r="M67" s="105"/>
      <x:c r="N67" s="105"/>
    </x:row>
    <x:row r="68" ht="13.5" customHeight="1">
      <x:c r="A68" s="130">
        <x:v>2020</x:v>
      </x:c>
      <x:c r="B68" s="113" t="s">
        <x:v>122</x:v>
      </x:c>
      <x:c r="C68" s="113" t="s">
        <x:v>16</x:v>
      </x:c>
      <x:c r="D68" s="113"/>
      <x:c r="E68" s="114" t="s">
        <x:v>53</x:v>
      </x:c>
      <x:c r="F68" s="114" t="s">
        <x:v>89</x:v>
      </x:c>
      <x:c r="G68" s="114" t="s">
        <x:v>43</x:v>
      </x:c>
      <x:c r="H68" s="114"/>
      <x:c r="I68" s="115" t="s">
        <x:v>103</x:v>
      </x:c>
      <x:c r="J68" s="116" t="s">
        <x:v>127</x:v>
      </x:c>
      <x:c r="L68" s="105"/>
      <x:c r="M68" s="105"/>
      <x:c r="N68" s="105"/>
    </x:row>
    <x:row r="69" ht="13.5" customHeight="1">
      <x:c r="A69" s="129">
        <x:v>2020</x:v>
      </x:c>
      <x:c r="B69" s="124" t="s">
        <x:v>124</x:v>
      </x:c>
      <x:c r="C69" s="124" t="s">
        <x:v>125</x:v>
      </x:c>
      <x:c r="D69" s="124"/>
      <x:c r="E69" s="125" t="s">
        <x:v>41</x:v>
      </x:c>
      <x:c r="F69" s="125" t="s">
        <x:v>88</x:v>
      </x:c>
      <x:c r="G69" s="125"/>
      <x:c r="H69" s="125" t="s">
        <x:v>44</x:v>
      </x:c>
      <x:c r="I69" s="126" t="s">
        <x:v>103</x:v>
      </x:c>
      <x:c r="J69" s="141" t="s">
        <x:v>131</x:v>
      </x:c>
      <x:c r="L69" s="105"/>
      <x:c r="M69" s="105"/>
      <x:c r="N69" s="105"/>
    </x:row>
    <x:row r="70" ht="13.5" customHeight="1">
      <x:c r="A70" s="130">
        <x:v>2020</x:v>
      </x:c>
      <x:c r="B70" s="113" t="s">
        <x:v>124</x:v>
      </x:c>
      <x:c r="C70" s="113" t="s">
        <x:v>125</x:v>
      </x:c>
      <x:c r="D70" s="113"/>
      <x:c r="E70" s="114" t="s">
        <x:v>44</x:v>
      </x:c>
      <x:c r="F70" s="114" t="s">
        <x:v>89</x:v>
      </x:c>
      <x:c r="G70" s="114"/>
      <x:c r="H70" s="114" t="s">
        <x:v>41</x:v>
      </x:c>
      <x:c r="I70" s="115" t="s">
        <x:v>104</x:v>
      </x:c>
      <x:c r="J70" s="116" t="s">
        <x:v>131</x:v>
      </x:c>
      <x:c r="L70" s="105"/>
      <x:c r="M70" s="105"/>
      <x:c r="N70" s="105"/>
    </x:row>
    <x:row r="71" ht="13.5" customHeight="1">
      <x:c r="A71" s="129">
        <x:v>2020</x:v>
      </x:c>
      <x:c r="B71" s="124" t="s">
        <x:v>124</x:v>
      </x:c>
      <x:c r="C71" s="124" t="s">
        <x:v>125</x:v>
      </x:c>
      <x:c r="D71" s="124"/>
      <x:c r="E71" s="125" t="s">
        <x:v>42</x:v>
      </x:c>
      <x:c r="F71" s="125" t="s">
        <x:v>88</x:v>
      </x:c>
      <x:c r="G71" s="125"/>
      <x:c r="H71" s="125" t="s">
        <x:v>43</x:v>
      </x:c>
      <x:c r="I71" s="126" t="s">
        <x:v>103</x:v>
      </x:c>
      <x:c r="J71" s="141" t="s">
        <x:v>129</x:v>
      </x:c>
      <x:c r="L71" s="105"/>
      <x:c r="M71" s="105"/>
      <x:c r="N71" s="105"/>
    </x:row>
    <x:row r="72" ht="13.5" customHeight="1">
      <x:c r="A72" s="130">
        <x:v>2020</x:v>
      </x:c>
      <x:c r="B72" s="113" t="s">
        <x:v>124</x:v>
      </x:c>
      <x:c r="C72" s="113" t="s">
        <x:v>125</x:v>
      </x:c>
      <x:c r="D72" s="113"/>
      <x:c r="E72" s="114" t="s">
        <x:v>43</x:v>
      </x:c>
      <x:c r="F72" s="114" t="s">
        <x:v>89</x:v>
      </x:c>
      <x:c r="G72" s="114"/>
      <x:c r="H72" s="114" t="s">
        <x:v>42</x:v>
      </x:c>
      <x:c r="I72" s="115" t="s">
        <x:v>104</x:v>
      </x:c>
      <x:c r="J72" s="116" t="s">
        <x:v>129</x:v>
      </x:c>
      <x:c r="L72" s="105"/>
      <x:c r="M72" s="105"/>
      <x:c r="N72" s="105"/>
    </x:row>
    <x:row r="73" ht="13.5" customHeight="1">
      <x:c r="A73" s="129">
        <x:v>2020</x:v>
      </x:c>
      <x:c r="B73" s="124" t="s">
        <x:v>124</x:v>
      </x:c>
      <x:c r="C73" s="124" t="s">
        <x:v>125</x:v>
      </x:c>
      <x:c r="D73" s="124"/>
      <x:c r="E73" s="125" t="s">
        <x:v>50</x:v>
      </x:c>
      <x:c r="F73" s="125" t="s">
        <x:v>88</x:v>
      </x:c>
      <x:c r="G73" s="125"/>
      <x:c r="H73" s="125" t="s">
        <x:v>52</x:v>
      </x:c>
      <x:c r="I73" s="126" t="s">
        <x:v>104</x:v>
      </x:c>
      <x:c r="J73" s="141" t="s">
        <x:v>130</x:v>
      </x:c>
      <x:c r="L73" s="105"/>
      <x:c r="M73" s="105"/>
      <x:c r="N73" s="105"/>
    </x:row>
    <x:row r="74" ht="13.5" customHeight="1">
      <x:c r="A74" s="130">
        <x:v>2020</x:v>
      </x:c>
      <x:c r="B74" s="113" t="s">
        <x:v>124</x:v>
      </x:c>
      <x:c r="C74" s="113" t="s">
        <x:v>125</x:v>
      </x:c>
      <x:c r="D74" s="113"/>
      <x:c r="E74" s="114" t="s">
        <x:v>52</x:v>
      </x:c>
      <x:c r="F74" s="114" t="s">
        <x:v>89</x:v>
      </x:c>
      <x:c r="G74" s="114"/>
      <x:c r="H74" s="114" t="s">
        <x:v>50</x:v>
      </x:c>
      <x:c r="I74" s="115" t="s">
        <x:v>103</x:v>
      </x:c>
      <x:c r="J74" s="141" t="s">
        <x:v>130</x:v>
      </x:c>
      <x:c r="L74" s="105"/>
      <x:c r="M74" s="105"/>
      <x:c r="N74" s="105"/>
    </x:row>
    <x:row r="75" ht="13.5" customHeight="1">
      <x:c r="A75" s="129">
        <x:v>2020</x:v>
      </x:c>
      <x:c r="B75" s="124" t="s">
        <x:v>124</x:v>
      </x:c>
      <x:c r="C75" s="124" t="s">
        <x:v>125</x:v>
      </x:c>
      <x:c r="D75" s="124"/>
      <x:c r="E75" s="125" t="s">
        <x:v>51</x:v>
      </x:c>
      <x:c r="F75" s="125" t="s">
        <x:v>88</x:v>
      </x:c>
      <x:c r="G75" s="125"/>
      <x:c r="H75" s="125" t="s">
        <x:v>53</x:v>
      </x:c>
      <x:c r="I75" s="126" t="s">
        <x:v>103</x:v>
      </x:c>
      <x:c r="J75" s="141" t="s">
        <x:v>128</x:v>
      </x:c>
      <x:c r="L75" s="105"/>
      <x:c r="M75" s="105"/>
      <x:c r="N75" s="105"/>
    </x:row>
    <x:row r="76" ht="13.5" customHeight="1">
      <x:c r="A76" s="130">
        <x:v>2020</x:v>
      </x:c>
      <x:c r="B76" s="113" t="s">
        <x:v>124</x:v>
      </x:c>
      <x:c r="C76" s="113" t="s">
        <x:v>125</x:v>
      </x:c>
      <x:c r="D76" s="113"/>
      <x:c r="E76" s="114" t="s">
        <x:v>53</x:v>
      </x:c>
      <x:c r="F76" s="114" t="s">
        <x:v>89</x:v>
      </x:c>
      <x:c r="G76" s="114"/>
      <x:c r="H76" s="114" t="s">
        <x:v>51</x:v>
      </x:c>
      <x:c r="I76" s="115" t="s">
        <x:v>104</x:v>
      </x:c>
      <x:c r="J76" s="116" t="s">
        <x:v>128</x:v>
      </x:c>
      <x:c r="L76" s="105"/>
      <x:c r="M76" s="105"/>
      <x:c r="N76" s="105"/>
    </x:row>
    <x:row r="77" ht="13.5" customHeight="1">
      <x:c r="A77" s="129">
        <x:v>2021</x:v>
      </x:c>
      <x:c r="B77" s="143" t="s">
        <x:v>115</x:v>
      </x:c>
      <x:c r="C77" s="124" t="s">
        <x:v>116</x:v>
      </x:c>
      <x:c r="D77" s="124"/>
      <x:c r="E77" s="125" t="s">
        <x:v>42</x:v>
      </x:c>
      <x:c r="F77" s="125" t="s">
        <x:v>88</x:v>
      </x:c>
      <x:c r="G77" s="125" t="s">
        <x:v>50</x:v>
      </x:c>
      <x:c r="H77" s="125"/>
      <x:c r="I77" s="126" t="s">
        <x:v>104</x:v>
      </x:c>
      <x:c r="J77" s="141" t="s">
        <x:v>132</x:v>
      </x:c>
      <x:c r="L77" s="105"/>
      <x:c r="M77" s="105"/>
      <x:c r="N77" s="105"/>
    </x:row>
    <x:row r="78" ht="13.5" customHeight="1">
      <x:c r="A78" s="129">
        <x:v>2021</x:v>
      </x:c>
      <x:c r="B78" s="143" t="s">
        <x:v>115</x:v>
      </x:c>
      <x:c r="C78" s="124" t="s">
        <x:v>116</x:v>
      </x:c>
      <x:c r="D78" s="124"/>
      <x:c r="E78" s="125" t="s">
        <x:v>50</x:v>
      </x:c>
      <x:c r="F78" s="125" t="s">
        <x:v>88</x:v>
      </x:c>
      <x:c r="G78" s="125" t="s">
        <x:v>42</x:v>
      </x:c>
      <x:c r="H78" s="125"/>
      <x:c r="I78" s="126" t="s">
        <x:v>104</x:v>
      </x:c>
      <x:c r="J78" s="141" t="s">
        <x:v>132</x:v>
      </x:c>
      <x:c r="L78" s="105"/>
      <x:c r="M78" s="105"/>
      <x:c r="N78" s="105"/>
    </x:row>
    <x:row r="79" ht="13.5" customHeight="1">
      <x:c r="A79" s="130">
        <x:v>2021</x:v>
      </x:c>
      <x:c r="B79" s="143" t="s">
        <x:v>115</x:v>
      </x:c>
      <x:c r="C79" s="113" t="s">
        <x:v>116</x:v>
      </x:c>
      <x:c r="D79" s="113"/>
      <x:c r="E79" s="114" t="s">
        <x:v>52</x:v>
      </x:c>
      <x:c r="F79" s="114" t="s">
        <x:v>89</x:v>
      </x:c>
      <x:c r="G79" s="114" t="s">
        <x:v>44</x:v>
      </x:c>
      <x:c r="H79" s="114"/>
      <x:c r="I79" s="115" t="s">
        <x:v>103</x:v>
      </x:c>
      <x:c r="J79" s="103" t="s">
        <x:v>132</x:v>
      </x:c>
      <x:c r="L79" s="105"/>
      <x:c r="M79" s="105"/>
      <x:c r="N79" s="105"/>
    </x:row>
    <x:row r="80" ht="13.5" customHeight="1">
      <x:c r="A80" s="130">
        <x:v>2021</x:v>
      </x:c>
      <x:c r="B80" s="143" t="s">
        <x:v>115</x:v>
      </x:c>
      <x:c r="C80" s="113" t="s">
        <x:v>116</x:v>
      </x:c>
      <x:c r="D80" s="113"/>
      <x:c r="E80" s="114" t="s">
        <x:v>44</x:v>
      </x:c>
      <x:c r="F80" s="114" t="s">
        <x:v>89</x:v>
      </x:c>
      <x:c r="G80" s="114" t="s">
        <x:v>52</x:v>
      </x:c>
      <x:c r="H80" s="114"/>
      <x:c r="I80" s="115" t="s">
        <x:v>103</x:v>
      </x:c>
      <x:c r="J80" s="103" t="s">
        <x:v>132</x:v>
      </x:c>
      <x:c r="L80" s="105"/>
      <x:c r="M80" s="105"/>
      <x:c r="N80" s="105"/>
    </x:row>
    <x:row r="81" ht="13.5" customHeight="1">
      <x:c r="A81" s="129">
        <x:v>2021</x:v>
      </x:c>
      <x:c r="B81" s="143" t="s">
        <x:v>118</x:v>
      </x:c>
      <x:c r="C81" s="124" t="s">
        <x:v>116</x:v>
      </x:c>
      <x:c r="D81" s="124"/>
      <x:c r="E81" s="125" t="s">
        <x:v>41</x:v>
      </x:c>
      <x:c r="F81" s="125" t="s">
        <x:v>88</x:v>
      </x:c>
      <x:c r="G81" s="125" t="s">
        <x:v>51</x:v>
      </x:c>
      <x:c r="H81" s="125"/>
      <x:c r="I81" s="126" t="s">
        <x:v>104</x:v>
      </x:c>
      <x:c r="J81" s="141" t="s">
        <x:v>127</x:v>
      </x:c>
      <x:c r="L81" s="105"/>
      <x:c r="M81" s="105"/>
      <x:c r="N81" s="105"/>
    </x:row>
    <x:row r="82" ht="13.5" customHeight="1">
      <x:c r="A82" s="129">
        <x:v>2021</x:v>
      </x:c>
      <x:c r="B82" s="124" t="s">
        <x:v>118</x:v>
      </x:c>
      <x:c r="C82" s="124" t="s">
        <x:v>116</x:v>
      </x:c>
      <x:c r="D82" s="124"/>
      <x:c r="E82" s="125" t="s">
        <x:v>51</x:v>
      </x:c>
      <x:c r="F82" s="125" t="s">
        <x:v>88</x:v>
      </x:c>
      <x:c r="G82" s="125" t="s">
        <x:v>41</x:v>
      </x:c>
      <x:c r="H82" s="125"/>
      <x:c r="I82" s="126" t="s">
        <x:v>104</x:v>
      </x:c>
      <x:c r="J82" s="141" t="s">
        <x:v>127</x:v>
      </x:c>
      <x:c r="L82" s="105"/>
      <x:c r="M82" s="105"/>
      <x:c r="N82" s="105"/>
    </x:row>
    <x:row r="83" ht="13.5" customHeight="1">
      <x:c r="A83" s="130">
        <x:v>2021</x:v>
      </x:c>
      <x:c r="B83" s="113" t="s">
        <x:v>118</x:v>
      </x:c>
      <x:c r="C83" s="113" t="s">
        <x:v>116</x:v>
      </x:c>
      <x:c r="D83" s="113"/>
      <x:c r="E83" s="114" t="s">
        <x:v>43</x:v>
      </x:c>
      <x:c r="F83" s="114" t="s">
        <x:v>89</x:v>
      </x:c>
      <x:c r="G83" s="114" t="s">
        <x:v>53</x:v>
      </x:c>
      <x:c r="H83" s="114"/>
      <x:c r="I83" s="115" t="s">
        <x:v>103</x:v>
      </x:c>
      <x:c r="J83" s="103" t="s">
        <x:v>127</x:v>
      </x:c>
      <x:c r="L83" s="105"/>
      <x:c r="M83" s="105"/>
      <x:c r="N83" s="105"/>
    </x:row>
    <x:row r="84" ht="13.5" customHeight="1">
      <x:c r="A84" s="130">
        <x:v>2021</x:v>
      </x:c>
      <x:c r="B84" s="113" t="s">
        <x:v>118</x:v>
      </x:c>
      <x:c r="C84" s="113" t="s">
        <x:v>116</x:v>
      </x:c>
      <x:c r="D84" s="113"/>
      <x:c r="E84" s="114" t="s">
        <x:v>53</x:v>
      </x:c>
      <x:c r="F84" s="114" t="s">
        <x:v>89</x:v>
      </x:c>
      <x:c r="G84" s="114" t="s">
        <x:v>43</x:v>
      </x:c>
      <x:c r="H84" s="114"/>
      <x:c r="I84" s="115" t="s">
        <x:v>103</x:v>
      </x:c>
      <x:c r="J84" s="103" t="s">
        <x:v>127</x:v>
      </x:c>
      <x:c r="L84" s="105"/>
      <x:c r="M84" s="105"/>
      <x:c r="N84" s="105"/>
    </x:row>
    <x:row r="85" ht="13.5" customHeight="1">
      <x:c r="A85" s="129">
        <x:v>2021</x:v>
      </x:c>
      <x:c r="B85" s="143" t="s">
        <x:v>120</x:v>
      </x:c>
      <x:c r="C85" s="124" t="s">
        <x:v>16</x:v>
      </x:c>
      <x:c r="D85" s="124"/>
      <x:c r="E85" s="125" t="s">
        <x:v>42</x:v>
      </x:c>
      <x:c r="F85" s="125" t="s">
        <x:v>88</x:v>
      </x:c>
      <x:c r="G85" s="125" t="s">
        <x:v>51</x:v>
      </x:c>
      <x:c r="H85" s="125"/>
      <x:c r="I85" s="126" t="s">
        <x:v>104</x:v>
      </x:c>
      <x:c r="J85" s="141" t="s">
        <x:v>133</x:v>
      </x:c>
      <x:c r="L85" s="105"/>
      <x:c r="M85" s="105"/>
      <x:c r="N85" s="105"/>
    </x:row>
    <x:row r="86" ht="13.5" customHeight="1">
      <x:c r="A86" s="129">
        <x:v>2021</x:v>
      </x:c>
      <x:c r="B86" s="124" t="s">
        <x:v>120</x:v>
      </x:c>
      <x:c r="C86" s="124" t="s">
        <x:v>16</x:v>
      </x:c>
      <x:c r="D86" s="124"/>
      <x:c r="E86" s="125" t="s">
        <x:v>51</x:v>
      </x:c>
      <x:c r="F86" s="125" t="s">
        <x:v>88</x:v>
      </x:c>
      <x:c r="G86" s="125" t="s">
        <x:v>42</x:v>
      </x:c>
      <x:c r="H86" s="125"/>
      <x:c r="I86" s="126" t="s">
        <x:v>104</x:v>
      </x:c>
      <x:c r="J86" s="141" t="s">
        <x:v>133</x:v>
      </x:c>
      <x:c r="L86" s="105"/>
      <x:c r="M86" s="105"/>
      <x:c r="N86" s="105"/>
    </x:row>
    <x:row r="87" ht="13.5" customHeight="1">
      <x:c r="A87" s="130">
        <x:v>2021</x:v>
      </x:c>
      <x:c r="B87" s="113" t="s">
        <x:v>120</x:v>
      </x:c>
      <x:c r="C87" s="113" t="s">
        <x:v>16</x:v>
      </x:c>
      <x:c r="D87" s="113"/>
      <x:c r="E87" s="114" t="s">
        <x:v>43</x:v>
      </x:c>
      <x:c r="F87" s="114" t="s">
        <x:v>89</x:v>
      </x:c>
      <x:c r="G87" s="114" t="s">
        <x:v>53</x:v>
      </x:c>
      <x:c r="H87" s="114"/>
      <x:c r="I87" s="115" t="s">
        <x:v>103</x:v>
      </x:c>
      <x:c r="J87" s="103" t="s">
        <x:v>133</x:v>
      </x:c>
      <x:c r="L87" s="105"/>
      <x:c r="M87" s="105"/>
      <x:c r="N87" s="105"/>
    </x:row>
    <x:row r="88" ht="13.5" customHeight="1">
      <x:c r="A88" s="130">
        <x:v>2021</x:v>
      </x:c>
      <x:c r="B88" s="113" t="s">
        <x:v>120</x:v>
      </x:c>
      <x:c r="C88" s="113" t="s">
        <x:v>16</x:v>
      </x:c>
      <x:c r="D88" s="113"/>
      <x:c r="E88" s="114" t="s">
        <x:v>53</x:v>
      </x:c>
      <x:c r="F88" s="114" t="s">
        <x:v>89</x:v>
      </x:c>
      <x:c r="G88" s="114" t="s">
        <x:v>43</x:v>
      </x:c>
      <x:c r="H88" s="114"/>
      <x:c r="I88" s="115" t="s">
        <x:v>103</x:v>
      </x:c>
      <x:c r="J88" s="103" t="s">
        <x:v>133</x:v>
      </x:c>
      <x:c r="L88" s="105"/>
      <x:c r="M88" s="105"/>
      <x:c r="N88" s="105"/>
    </x:row>
    <x:row r="89" ht="13.5" customHeight="1">
      <x:c r="A89" s="131">
        <x:v>2021</x:v>
      </x:c>
      <x:c r="B89" s="144" t="s">
        <x:v>122</x:v>
      </x:c>
      <x:c r="C89" s="126" t="s">
        <x:v>16</x:v>
      </x:c>
      <x:c r="D89" s="126"/>
      <x:c r="E89" s="127" t="s">
        <x:v>50</x:v>
      </x:c>
      <x:c r="F89" s="127" t="s">
        <x:v>88</x:v>
      </x:c>
      <x:c r="G89" s="127" t="s">
        <x:v>41</x:v>
      </x:c>
      <x:c r="H89" s="127"/>
      <x:c r="I89" s="126" t="s">
        <x:v>103</x:v>
      </x:c>
      <x:c r="J89" s="141" t="s">
        <x:v>134</x:v>
      </x:c>
      <x:c r="L89" s="105"/>
      <x:c r="M89" s="105"/>
      <x:c r="N89" s="105"/>
    </x:row>
    <x:row r="90" ht="13.5" customHeight="1">
      <x:c r="A90" s="131">
        <x:v>2021</x:v>
      </x:c>
      <x:c r="B90" s="126" t="s">
        <x:v>122</x:v>
      </x:c>
      <x:c r="C90" s="126" t="s">
        <x:v>16</x:v>
      </x:c>
      <x:c r="D90" s="126"/>
      <x:c r="E90" s="127" t="s">
        <x:v>41</x:v>
      </x:c>
      <x:c r="F90" s="127" t="s">
        <x:v>88</x:v>
      </x:c>
      <x:c r="G90" s="127" t="s">
        <x:v>50</x:v>
      </x:c>
      <x:c r="H90" s="127"/>
      <x:c r="I90" s="126" t="s">
        <x:v>103</x:v>
      </x:c>
      <x:c r="J90" s="141" t="s">
        <x:v>134</x:v>
      </x:c>
      <x:c r="L90" s="105"/>
      <x:c r="M90" s="105"/>
      <x:c r="N90" s="105"/>
    </x:row>
    <x:row r="91" ht="13.5" customHeight="1">
      <x:c r="A91" s="132">
        <x:v>2021</x:v>
      </x:c>
      <x:c r="B91" s="115" t="s">
        <x:v>122</x:v>
      </x:c>
      <x:c r="C91" s="115" t="s">
        <x:v>16</x:v>
      </x:c>
      <x:c r="D91" s="115"/>
      <x:c r="E91" s="117" t="s">
        <x:v>52</x:v>
      </x:c>
      <x:c r="F91" s="117" t="s">
        <x:v>89</x:v>
      </x:c>
      <x:c r="G91" s="117" t="s">
        <x:v>44</x:v>
      </x:c>
      <x:c r="H91" s="117"/>
      <x:c r="I91" s="115" t="s">
        <x:v>104</x:v>
      </x:c>
      <x:c r="J91" s="103" t="s">
        <x:v>134</x:v>
      </x:c>
      <x:c r="L91" s="105"/>
      <x:c r="M91" s="105"/>
      <x:c r="N91" s="105"/>
    </x:row>
    <x:row r="92" ht="13.5" customHeight="1">
      <x:c r="A92" s="132">
        <x:v>2021</x:v>
      </x:c>
      <x:c r="B92" s="115" t="s">
        <x:v>122</x:v>
      </x:c>
      <x:c r="C92" s="115" t="s">
        <x:v>16</x:v>
      </x:c>
      <x:c r="D92" s="115"/>
      <x:c r="E92" s="117" t="s">
        <x:v>44</x:v>
      </x:c>
      <x:c r="F92" s="117" t="s">
        <x:v>89</x:v>
      </x:c>
      <x:c r="G92" s="117" t="s">
        <x:v>52</x:v>
      </x:c>
      <x:c r="H92" s="117"/>
      <x:c r="I92" s="115" t="s">
        <x:v>104</x:v>
      </x:c>
      <x:c r="J92" s="103" t="s">
        <x:v>134</x:v>
      </x:c>
      <x:c r="L92" s="105"/>
      <x:c r="M92" s="105"/>
      <x:c r="N92" s="105"/>
    </x:row>
    <x:row r="93" ht="13.5" customHeight="1">
      <x:c r="A93" s="131">
        <x:v>2021</x:v>
      </x:c>
      <x:c r="B93" s="126" t="s">
        <x:v>124</x:v>
      </x:c>
      <x:c r="C93" s="126" t="s">
        <x:v>125</x:v>
      </x:c>
      <x:c r="D93" s="126"/>
      <x:c r="E93" s="127" t="s">
        <x:v>50</x:v>
      </x:c>
      <x:c r="F93" s="127" t="s">
        <x:v>88</x:v>
      </x:c>
      <x:c r="G93" s="127"/>
      <x:c r="H93" s="127" t="s">
        <x:v>53</x:v>
      </x:c>
      <x:c r="I93" s="126" t="s">
        <x:v>103</x:v>
      </x:c>
      <x:c r="J93" s="141" t="s">
        <x:v>135</x:v>
      </x:c>
      <x:c r="L93" s="105"/>
      <x:c r="M93" s="105"/>
      <x:c r="N93" s="105"/>
    </x:row>
    <x:row r="94" ht="13.5" customHeight="1">
      <x:c r="A94" s="132">
        <x:v>2021</x:v>
      </x:c>
      <x:c r="B94" s="115" t="s">
        <x:v>124</x:v>
      </x:c>
      <x:c r="C94" s="115" t="s">
        <x:v>125</x:v>
      </x:c>
      <x:c r="D94" s="115"/>
      <x:c r="E94" s="117" t="s">
        <x:v>53</x:v>
      </x:c>
      <x:c r="F94" s="117" t="s">
        <x:v>89</x:v>
      </x:c>
      <x:c r="G94" s="117"/>
      <x:c r="H94" s="117" t="s">
        <x:v>50</x:v>
      </x:c>
      <x:c r="I94" s="115" t="s">
        <x:v>104</x:v>
      </x:c>
      <x:c r="J94" s="103" t="s">
        <x:v>135</x:v>
      </x:c>
      <x:c r="L94" s="105"/>
      <x:c r="M94" s="105"/>
      <x:c r="N94" s="105"/>
    </x:row>
    <x:row r="95" ht="13.5" customHeight="1">
      <x:c r="A95" s="131">
        <x:v>2021</x:v>
      </x:c>
      <x:c r="B95" s="126" t="s">
        <x:v>124</x:v>
      </x:c>
      <x:c r="C95" s="126" t="s">
        <x:v>125</x:v>
      </x:c>
      <x:c r="D95" s="126"/>
      <x:c r="E95" s="127" t="s">
        <x:v>51</x:v>
      </x:c>
      <x:c r="F95" s="127" t="s">
        <x:v>88</x:v>
      </x:c>
      <x:c r="G95" s="127"/>
      <x:c r="H95" s="127" t="s">
        <x:v>52</x:v>
      </x:c>
      <x:c r="I95" s="126" t="s">
        <x:v>103</x:v>
      </x:c>
      <x:c r="J95" s="141" t="s">
        <x:v>128</x:v>
      </x:c>
      <x:c r="L95" s="105"/>
      <x:c r="M95" s="105"/>
      <x:c r="N95" s="105"/>
    </x:row>
    <x:row r="96" ht="13.5" customHeight="1">
      <x:c r="A96" s="132">
        <x:v>2021</x:v>
      </x:c>
      <x:c r="B96" s="115" t="s">
        <x:v>124</x:v>
      </x:c>
      <x:c r="C96" s="115" t="s">
        <x:v>125</x:v>
      </x:c>
      <x:c r="D96" s="115"/>
      <x:c r="E96" s="117" t="s">
        <x:v>52</x:v>
      </x:c>
      <x:c r="F96" s="117" t="s">
        <x:v>89</x:v>
      </x:c>
      <x:c r="G96" s="117"/>
      <x:c r="H96" s="117" t="s">
        <x:v>51</x:v>
      </x:c>
      <x:c r="I96" s="115" t="s">
        <x:v>104</x:v>
      </x:c>
      <x:c r="J96" s="103" t="s">
        <x:v>128</x:v>
      </x:c>
      <x:c r="L96" s="105"/>
      <x:c r="M96" s="105"/>
      <x:c r="N96" s="105"/>
    </x:row>
    <x:row r="97" ht="13.5" customHeight="1">
      <x:c r="A97" s="131">
        <x:v>2021</x:v>
      </x:c>
      <x:c r="B97" s="126" t="s">
        <x:v>124</x:v>
      </x:c>
      <x:c r="C97" s="126" t="s">
        <x:v>125</x:v>
      </x:c>
      <x:c r="D97" s="126"/>
      <x:c r="E97" s="127" t="s">
        <x:v>42</x:v>
      </x:c>
      <x:c r="F97" s="127" t="s">
        <x:v>88</x:v>
      </x:c>
      <x:c r="G97" s="127"/>
      <x:c r="H97" s="127" t="s">
        <x:v>44</x:v>
      </x:c>
      <x:c r="I97" s="126" t="s">
        <x:v>103</x:v>
      </x:c>
      <x:c r="J97" s="141" t="s">
        <x:v>136</x:v>
      </x:c>
      <x:c r="L97" s="105"/>
      <x:c r="M97" s="105"/>
      <x:c r="N97" s="105"/>
    </x:row>
    <x:row r="98" ht="13.5" customHeight="1">
      <x:c r="A98" s="132">
        <x:v>2021</x:v>
      </x:c>
      <x:c r="B98" s="115" t="s">
        <x:v>124</x:v>
      </x:c>
      <x:c r="C98" s="115" t="s">
        <x:v>125</x:v>
      </x:c>
      <x:c r="D98" s="115"/>
      <x:c r="E98" s="117" t="s">
        <x:v>44</x:v>
      </x:c>
      <x:c r="F98" s="117" t="s">
        <x:v>89</x:v>
      </x:c>
      <x:c r="G98" s="117"/>
      <x:c r="H98" s="117" t="s">
        <x:v>42</x:v>
      </x:c>
      <x:c r="I98" s="115" t="s">
        <x:v>104</x:v>
      </x:c>
      <x:c r="J98" s="103" t="s">
        <x:v>136</x:v>
      </x:c>
      <x:c r="L98" s="105"/>
      <x:c r="M98" s="105"/>
      <x:c r="N98" s="105"/>
    </x:row>
    <x:row r="99" ht="13.5" customHeight="1">
      <x:c r="A99" s="131">
        <x:v>2021</x:v>
      </x:c>
      <x:c r="B99" s="126" t="s">
        <x:v>124</x:v>
      </x:c>
      <x:c r="C99" s="126" t="s">
        <x:v>125</x:v>
      </x:c>
      <x:c r="D99" s="126"/>
      <x:c r="E99" s="127" t="s">
        <x:v>41</x:v>
      </x:c>
      <x:c r="F99" s="127" t="s">
        <x:v>88</x:v>
      </x:c>
      <x:c r="G99" s="127"/>
      <x:c r="H99" s="127" t="s">
        <x:v>43</x:v>
      </x:c>
      <x:c r="I99" s="126" t="s">
        <x:v>103</x:v>
      </x:c>
      <x:c r="J99" s="141" t="s">
        <x:v>137</x:v>
      </x:c>
      <x:c r="L99" s="105"/>
      <x:c r="M99" s="105"/>
      <x:c r="N99" s="105"/>
    </x:row>
    <x:row r="100" ht="13.5" customHeight="1">
      <x:c r="A100" s="132">
        <x:v>2021</x:v>
      </x:c>
      <x:c r="B100" s="115" t="s">
        <x:v>124</x:v>
      </x:c>
      <x:c r="C100" s="115" t="s">
        <x:v>125</x:v>
      </x:c>
      <x:c r="D100" s="115"/>
      <x:c r="E100" s="117" t="s">
        <x:v>43</x:v>
      </x:c>
      <x:c r="F100" s="117" t="s">
        <x:v>89</x:v>
      </x:c>
      <x:c r="G100" s="117"/>
      <x:c r="H100" s="117" t="s">
        <x:v>41</x:v>
      </x:c>
      <x:c r="I100" s="115" t="s">
        <x:v>104</x:v>
      </x:c>
      <x:c r="J100" s="103" t="s">
        <x:v>137</x:v>
      </x:c>
      <x:c r="L100" s="105"/>
      <x:c r="M100" s="105"/>
      <x:c r="N100" s="105"/>
    </x:row>
    <x:row r="101" ht="13.5" customHeight="1">
      <x:c r="A101" s="131">
        <x:v>2022</x:v>
      </x:c>
      <x:c r="B101" s="144" t="s">
        <x:v>115</x:v>
      </x:c>
      <x:c r="C101" s="126" t="s">
        <x:v>116</x:v>
      </x:c>
      <x:c r="D101" s="126"/>
      <x:c r="E101" s="127" t="s">
        <x:v>42</x:v>
      </x:c>
      <x:c r="F101" s="127" t="s">
        <x:v>88</x:v>
      </x:c>
      <x:c r="G101" s="127" t="s">
        <x:v>50</x:v>
      </x:c>
      <x:c r="H101" s="127"/>
      <x:c r="I101" s="126" t="s">
        <x:v>103</x:v>
      </x:c>
      <x:c r="J101" s="141" t="s">
        <x:v>138</x:v>
      </x:c>
      <x:c r="L101" s="105"/>
      <x:c r="M101" s="105"/>
      <x:c r="N101" s="105"/>
    </x:row>
    <x:row r="102" ht="13.5" customHeight="1">
      <x:c r="A102" s="131">
        <x:v>2022</x:v>
      </x:c>
      <x:c r="B102" s="126" t="s">
        <x:v>115</x:v>
      </x:c>
      <x:c r="C102" s="126" t="s">
        <x:v>116</x:v>
      </x:c>
      <x:c r="D102" s="126"/>
      <x:c r="E102" s="127" t="s">
        <x:v>50</x:v>
      </x:c>
      <x:c r="F102" s="127" t="s">
        <x:v>88</x:v>
      </x:c>
      <x:c r="G102" s="127" t="s">
        <x:v>42</x:v>
      </x:c>
      <x:c r="H102" s="127"/>
      <x:c r="I102" s="126" t="s">
        <x:v>103</x:v>
      </x:c>
      <x:c r="J102" s="141" t="s">
        <x:v>138</x:v>
      </x:c>
      <x:c r="L102" s="105"/>
      <x:c r="M102" s="105"/>
      <x:c r="N102" s="105"/>
    </x:row>
    <x:row r="103" ht="13.5" customHeight="1">
      <x:c r="A103" s="132">
        <x:v>2022</x:v>
      </x:c>
      <x:c r="B103" s="115" t="s">
        <x:v>115</x:v>
      </x:c>
      <x:c r="C103" s="115" t="s">
        <x:v>116</x:v>
      </x:c>
      <x:c r="D103" s="115"/>
      <x:c r="E103" s="117" t="s">
        <x:v>44</x:v>
      </x:c>
      <x:c r="F103" s="117" t="s">
        <x:v>89</x:v>
      </x:c>
      <x:c r="G103" s="117" t="s">
        <x:v>52</x:v>
      </x:c>
      <x:c r="H103" s="117"/>
      <x:c r="I103" s="115" t="s">
        <x:v>104</x:v>
      </x:c>
      <x:c r="J103" s="116" t="s">
        <x:v>138</x:v>
      </x:c>
      <x:c r="L103" s="105"/>
      <x:c r="M103" s="105"/>
      <x:c r="N103" s="105"/>
    </x:row>
    <x:row r="104" ht="13.5" customHeight="1">
      <x:c r="A104" s="132">
        <x:v>2022</x:v>
      </x:c>
      <x:c r="B104" s="115" t="s">
        <x:v>115</x:v>
      </x:c>
      <x:c r="C104" s="115" t="s">
        <x:v>116</x:v>
      </x:c>
      <x:c r="D104" s="115"/>
      <x:c r="E104" s="117" t="s">
        <x:v>52</x:v>
      </x:c>
      <x:c r="F104" s="117" t="s">
        <x:v>89</x:v>
      </x:c>
      <x:c r="G104" s="117" t="s">
        <x:v>44</x:v>
      </x:c>
      <x:c r="H104" s="117"/>
      <x:c r="I104" s="115" t="s">
        <x:v>104</x:v>
      </x:c>
      <x:c r="J104" s="116" t="s">
        <x:v>138</x:v>
      </x:c>
      <x:c r="L104" s="105"/>
      <x:c r="M104" s="105"/>
      <x:c r="N104" s="105"/>
    </x:row>
    <x:row r="105" ht="13.5" customHeight="1">
      <x:c r="A105" s="131">
        <x:v>2022</x:v>
      </x:c>
      <x:c r="B105" s="144" t="s">
        <x:v>118</x:v>
      </x:c>
      <x:c r="C105" s="126" t="s">
        <x:v>116</x:v>
      </x:c>
      <x:c r="D105" s="126"/>
      <x:c r="E105" s="127" t="s">
        <x:v>41</x:v>
      </x:c>
      <x:c r="F105" s="127" t="s">
        <x:v>88</x:v>
      </x:c>
      <x:c r="G105" s="127" t="s">
        <x:v>51</x:v>
      </x:c>
      <x:c r="H105" s="127"/>
      <x:c r="I105" s="126" t="s">
        <x:v>104</x:v>
      </x:c>
      <x:c r="J105" s="141" t="s">
        <x:v>117</x:v>
      </x:c>
      <x:c r="L105" s="105"/>
      <x:c r="M105" s="105"/>
      <x:c r="N105" s="105"/>
    </x:row>
    <x:row r="106" ht="13.5" customHeight="1">
      <x:c r="A106" s="131">
        <x:v>2022</x:v>
      </x:c>
      <x:c r="B106" s="126" t="s">
        <x:v>118</x:v>
      </x:c>
      <x:c r="C106" s="126" t="s">
        <x:v>116</x:v>
      </x:c>
      <x:c r="D106" s="126"/>
      <x:c r="E106" s="127" t="s">
        <x:v>51</x:v>
      </x:c>
      <x:c r="F106" s="127" t="s">
        <x:v>88</x:v>
      </x:c>
      <x:c r="G106" s="127" t="s">
        <x:v>41</x:v>
      </x:c>
      <x:c r="H106" s="127"/>
      <x:c r="I106" s="126" t="s">
        <x:v>104</x:v>
      </x:c>
      <x:c r="J106" s="141" t="s">
        <x:v>117</x:v>
      </x:c>
      <x:c r="L106" s="105"/>
      <x:c r="M106" s="105"/>
      <x:c r="N106" s="105"/>
    </x:row>
    <x:row r="107" ht="13.5" customHeight="1">
      <x:c r="A107" s="132">
        <x:v>2022</x:v>
      </x:c>
      <x:c r="B107" s="115" t="s">
        <x:v>118</x:v>
      </x:c>
      <x:c r="C107" s="115" t="s">
        <x:v>116</x:v>
      </x:c>
      <x:c r="D107" s="115"/>
      <x:c r="E107" s="117" t="s">
        <x:v>53</x:v>
      </x:c>
      <x:c r="F107" s="117" t="s">
        <x:v>89</x:v>
      </x:c>
      <x:c r="G107" s="117" t="s">
        <x:v>43</x:v>
      </x:c>
      <x:c r="H107" s="117"/>
      <x:c r="I107" s="115" t="s">
        <x:v>103</x:v>
      </x:c>
      <x:c r="J107" s="103" t="s">
        <x:v>117</x:v>
      </x:c>
      <x:c r="L107" s="105"/>
      <x:c r="M107" s="105"/>
      <x:c r="N107" s="105"/>
    </x:row>
    <x:row r="108" ht="13.5" customHeight="1">
      <x:c r="A108" s="132">
        <x:v>2022</x:v>
      </x:c>
      <x:c r="B108" s="115" t="s">
        <x:v>118</x:v>
      </x:c>
      <x:c r="C108" s="115" t="s">
        <x:v>116</x:v>
      </x:c>
      <x:c r="D108" s="115"/>
      <x:c r="E108" s="117" t="s">
        <x:v>43</x:v>
      </x:c>
      <x:c r="F108" s="117" t="s">
        <x:v>89</x:v>
      </x:c>
      <x:c r="G108" s="117" t="s">
        <x:v>53</x:v>
      </x:c>
      <x:c r="H108" s="117"/>
      <x:c r="I108" s="115" t="s">
        <x:v>103</x:v>
      </x:c>
      <x:c r="J108" s="103" t="s">
        <x:v>117</x:v>
      </x:c>
      <x:c r="L108" s="105"/>
      <x:c r="M108" s="105"/>
      <x:c r="N108" s="105"/>
    </x:row>
    <x:row r="109" ht="13.5" customHeight="1">
      <x:c r="A109" s="131">
        <x:v>2022</x:v>
      </x:c>
      <x:c r="B109" s="144" t="s">
        <x:v>120</x:v>
      </x:c>
      <x:c r="C109" s="126" t="s">
        <x:v>16</x:v>
      </x:c>
      <x:c r="D109" s="126"/>
      <x:c r="E109" s="127" t="s">
        <x:v>42</x:v>
      </x:c>
      <x:c r="F109" s="127" t="s">
        <x:v>88</x:v>
      </x:c>
      <x:c r="G109" s="127" t="s">
        <x:v>50</x:v>
      </x:c>
      <x:c r="H109" s="127"/>
      <x:c r="I109" s="126" t="s">
        <x:v>103</x:v>
      </x:c>
      <x:c r="J109" s="141" t="s">
        <x:v>139</x:v>
      </x:c>
      <x:c r="L109" s="105"/>
      <x:c r="M109" s="105"/>
      <x:c r="N109" s="105"/>
    </x:row>
    <x:row r="110" ht="13.5" customHeight="1">
      <x:c r="A110" s="131">
        <x:v>2022</x:v>
      </x:c>
      <x:c r="B110" s="144" t="s">
        <x:v>120</x:v>
      </x:c>
      <x:c r="C110" s="126" t="s">
        <x:v>16</x:v>
      </x:c>
      <x:c r="D110" s="126"/>
      <x:c r="E110" s="127" t="s">
        <x:v>50</x:v>
      </x:c>
      <x:c r="F110" s="127" t="s">
        <x:v>88</x:v>
      </x:c>
      <x:c r="G110" s="127" t="s">
        <x:v>42</x:v>
      </x:c>
      <x:c r="H110" s="127"/>
      <x:c r="I110" s="126" t="s">
        <x:v>103</x:v>
      </x:c>
      <x:c r="J110" s="141" t="s">
        <x:v>139</x:v>
      </x:c>
      <x:c r="L110" s="105"/>
      <x:c r="M110" s="105"/>
      <x:c r="N110" s="105"/>
    </x:row>
    <x:row r="111" ht="13.5" customHeight="1">
      <x:c r="A111" s="132">
        <x:v>2022</x:v>
      </x:c>
      <x:c r="B111" s="144" t="s">
        <x:v>120</x:v>
      </x:c>
      <x:c r="C111" s="115" t="s">
        <x:v>16</x:v>
      </x:c>
      <x:c r="D111" s="115"/>
      <x:c r="E111" s="117" t="s">
        <x:v>44</x:v>
      </x:c>
      <x:c r="F111" s="117" t="s">
        <x:v>89</x:v>
      </x:c>
      <x:c r="G111" s="117" t="s">
        <x:v>53</x:v>
      </x:c>
      <x:c r="H111" s="117"/>
      <x:c r="I111" s="115" t="s">
        <x:v>104</x:v>
      </x:c>
      <x:c r="J111" s="103" t="s">
        <x:v>139</x:v>
      </x:c>
      <x:c r="L111" s="105"/>
      <x:c r="M111" s="105"/>
      <x:c r="N111" s="105"/>
    </x:row>
    <x:row r="112" ht="13.5" customHeight="1">
      <x:c r="A112" s="132">
        <x:v>2022</x:v>
      </x:c>
      <x:c r="B112" s="144" t="s">
        <x:v>120</x:v>
      </x:c>
      <x:c r="C112" s="115" t="s">
        <x:v>16</x:v>
      </x:c>
      <x:c r="D112" s="115"/>
      <x:c r="E112" s="117" t="s">
        <x:v>53</x:v>
      </x:c>
      <x:c r="F112" s="117" t="s">
        <x:v>89</x:v>
      </x:c>
      <x:c r="G112" s="117" t="s">
        <x:v>44</x:v>
      </x:c>
      <x:c r="H112" s="117"/>
      <x:c r="I112" s="115" t="s">
        <x:v>104</x:v>
      </x:c>
      <x:c r="J112" s="103" t="s">
        <x:v>139</x:v>
      </x:c>
      <x:c r="L112" s="105"/>
      <x:c r="M112" s="105"/>
      <x:c r="N112" s="105"/>
    </x:row>
    <x:row r="113" ht="13.5" customHeight="1">
      <x:c r="A113" s="131">
        <x:v>2022</x:v>
      </x:c>
      <x:c r="B113" s="144" t="s">
        <x:v>122</x:v>
      </x:c>
      <x:c r="C113" s="126" t="s">
        <x:v>16</x:v>
      </x:c>
      <x:c r="D113" s="126"/>
      <x:c r="E113" s="127" t="s">
        <x:v>41</x:v>
      </x:c>
      <x:c r="F113" s="127" t="s">
        <x:v>88</x:v>
      </x:c>
      <x:c r="G113" s="127" t="s">
        <x:v>51</x:v>
      </x:c>
      <x:c r="H113" s="127"/>
      <x:c r="I113" s="126" t="s">
        <x:v>104</x:v>
      </x:c>
      <x:c r="J113" s="141" t="s">
        <x:v>140</x:v>
      </x:c>
      <x:c r="L113" s="105"/>
      <x:c r="M113" s="105"/>
      <x:c r="N113" s="105"/>
    </x:row>
    <x:row r="114" ht="13.5" customHeight="1">
      <x:c r="A114" s="131">
        <x:v>2022</x:v>
      </x:c>
      <x:c r="B114" s="126" t="s">
        <x:v>122</x:v>
      </x:c>
      <x:c r="C114" s="126" t="s">
        <x:v>16</x:v>
      </x:c>
      <x:c r="D114" s="126"/>
      <x:c r="E114" s="127" t="s">
        <x:v>51</x:v>
      </x:c>
      <x:c r="F114" s="127" t="s">
        <x:v>88</x:v>
      </x:c>
      <x:c r="G114" s="127" t="s">
        <x:v>41</x:v>
      </x:c>
      <x:c r="H114" s="127"/>
      <x:c r="I114" s="126" t="s">
        <x:v>104</x:v>
      </x:c>
      <x:c r="J114" s="141" t="s">
        <x:v>140</x:v>
      </x:c>
      <x:c r="L114" s="105"/>
      <x:c r="M114" s="105"/>
      <x:c r="N114" s="105"/>
    </x:row>
    <x:row r="115" ht="13.5" customHeight="1">
      <x:c r="A115" s="132">
        <x:v>2022</x:v>
      </x:c>
      <x:c r="B115" s="115" t="s">
        <x:v>122</x:v>
      </x:c>
      <x:c r="C115" s="115" t="s">
        <x:v>16</x:v>
      </x:c>
      <x:c r="D115" s="115"/>
      <x:c r="E115" s="117" t="s">
        <x:v>52</x:v>
      </x:c>
      <x:c r="F115" s="117" t="s">
        <x:v>89</x:v>
      </x:c>
      <x:c r="G115" s="117" t="s">
        <x:v>43</x:v>
      </x:c>
      <x:c r="H115" s="117"/>
      <x:c r="I115" s="115" t="s">
        <x:v>103</x:v>
      </x:c>
      <x:c r="J115" s="103" t="s">
        <x:v>140</x:v>
      </x:c>
      <x:c r="L115" s="105"/>
      <x:c r="M115" s="105"/>
      <x:c r="N115" s="105"/>
    </x:row>
    <x:row r="116" ht="13.5" customHeight="1">
      <x:c r="A116" s="132">
        <x:v>2022</x:v>
      </x:c>
      <x:c r="B116" s="115" t="s">
        <x:v>122</x:v>
      </x:c>
      <x:c r="C116" s="115" t="s">
        <x:v>16</x:v>
      </x:c>
      <x:c r="D116" s="115"/>
      <x:c r="E116" s="117" t="s">
        <x:v>43</x:v>
      </x:c>
      <x:c r="F116" s="117" t="s">
        <x:v>89</x:v>
      </x:c>
      <x:c r="G116" s="117" t="s">
        <x:v>52</x:v>
      </x:c>
      <x:c r="H116" s="117"/>
      <x:c r="I116" s="115" t="s">
        <x:v>103</x:v>
      </x:c>
      <x:c r="J116" s="103" t="s">
        <x:v>140</x:v>
      </x:c>
      <x:c r="L116" s="105"/>
      <x:c r="M116" s="105"/>
      <x:c r="N116" s="105"/>
    </x:row>
    <x:row r="117" ht="13.5" customHeight="1">
      <x:c r="A117" s="131">
        <x:v>2022</x:v>
      </x:c>
      <x:c r="B117" s="126" t="s">
        <x:v>124</x:v>
      </x:c>
      <x:c r="C117" s="126" t="s">
        <x:v>125</x:v>
      </x:c>
      <x:c r="D117" s="126"/>
      <x:c r="E117" s="127" t="s">
        <x:v>51</x:v>
      </x:c>
      <x:c r="F117" s="127" t="s">
        <x:v>88</x:v>
      </x:c>
      <x:c r="G117" s="127"/>
      <x:c r="H117" s="142" t="s">
        <x:v>53</x:v>
      </x:c>
      <x:c r="I117" s="126" t="s">
        <x:v>104</x:v>
      </x:c>
      <x:c r="J117" s="141" t="s">
        <x:v>141</x:v>
      </x:c>
      <x:c r="L117" s="105"/>
      <x:c r="M117" s="105"/>
      <x:c r="N117" s="105"/>
    </x:row>
    <x:row r="118" ht="13.5" customHeight="1">
      <x:c r="A118" s="132">
        <x:v>2022</x:v>
      </x:c>
      <x:c r="B118" s="115" t="s">
        <x:v>124</x:v>
      </x:c>
      <x:c r="C118" s="115" t="s">
        <x:v>125</x:v>
      </x:c>
      <x:c r="D118" s="115"/>
      <x:c r="E118" s="102" t="s">
        <x:v>53</x:v>
      </x:c>
      <x:c r="F118" s="117" t="s">
        <x:v>89</x:v>
      </x:c>
      <x:c r="G118" s="117"/>
      <x:c r="H118" s="117" t="s">
        <x:v>51</x:v>
      </x:c>
      <x:c r="I118" s="115" t="s">
        <x:v>103</x:v>
      </x:c>
      <x:c r="J118" s="116" t="s">
        <x:v>141</x:v>
      </x:c>
      <x:c r="L118" s="105"/>
      <x:c r="M118" s="105"/>
      <x:c r="N118" s="105"/>
    </x:row>
    <x:row r="119" ht="13.5" customHeight="1">
      <x:c r="A119" s="131">
        <x:v>2022</x:v>
      </x:c>
      <x:c r="B119" s="126" t="s">
        <x:v>124</x:v>
      </x:c>
      <x:c r="C119" s="126" t="s">
        <x:v>125</x:v>
      </x:c>
      <x:c r="D119" s="126"/>
      <x:c r="E119" s="127" t="s">
        <x:v>50</x:v>
      </x:c>
      <x:c r="F119" s="127" t="s">
        <x:v>88</x:v>
      </x:c>
      <x:c r="G119" s="127"/>
      <x:c r="H119" s="142" t="s">
        <x:v>52</x:v>
      </x:c>
      <x:c r="I119" s="126" t="s">
        <x:v>104</x:v>
      </x:c>
      <x:c r="J119" s="141" t="s">
        <x:v>132</x:v>
      </x:c>
      <x:c r="L119" s="105"/>
      <x:c r="M119" s="105"/>
      <x:c r="N119" s="105"/>
    </x:row>
    <x:row r="120" ht="13.5" customHeight="1">
      <x:c r="A120" s="132">
        <x:v>2022</x:v>
      </x:c>
      <x:c r="B120" s="115" t="s">
        <x:v>124</x:v>
      </x:c>
      <x:c r="C120" s="115" t="s">
        <x:v>125</x:v>
      </x:c>
      <x:c r="D120" s="115"/>
      <x:c r="E120" s="102" t="s">
        <x:v>52</x:v>
      </x:c>
      <x:c r="F120" s="117" t="s">
        <x:v>89</x:v>
      </x:c>
      <x:c r="G120" s="117"/>
      <x:c r="H120" s="117" t="s">
        <x:v>50</x:v>
      </x:c>
      <x:c r="I120" s="115" t="s">
        <x:v>103</x:v>
      </x:c>
      <x:c r="J120" s="103" t="s">
        <x:v>132</x:v>
      </x:c>
      <x:c r="L120" s="105"/>
      <x:c r="M120" s="105"/>
      <x:c r="N120" s="105"/>
    </x:row>
    <x:row r="121" ht="13.5" customHeight="1">
      <x:c r="A121" s="131">
        <x:v>2022</x:v>
      </x:c>
      <x:c r="B121" s="126" t="s">
        <x:v>124</x:v>
      </x:c>
      <x:c r="C121" s="126" t="s">
        <x:v>125</x:v>
      </x:c>
      <x:c r="D121" s="126"/>
      <x:c r="E121" s="127" t="s">
        <x:v>42</x:v>
      </x:c>
      <x:c r="F121" s="127" t="s">
        <x:v>88</x:v>
      </x:c>
      <x:c r="G121" s="127"/>
      <x:c r="H121" s="127" t="s">
        <x:v>44</x:v>
      </x:c>
      <x:c r="I121" s="126" t="s">
        <x:v>103</x:v>
      </x:c>
      <x:c r="J121" s="141" t="s">
        <x:v>142</x:v>
      </x:c>
      <x:c r="L121" s="105"/>
      <x:c r="M121" s="105"/>
      <x:c r="N121" s="105"/>
    </x:row>
    <x:row r="122" ht="13.5" customHeight="1">
      <x:c r="A122" s="132">
        <x:v>2022</x:v>
      </x:c>
      <x:c r="B122" s="115" t="s">
        <x:v>124</x:v>
      </x:c>
      <x:c r="C122" s="115" t="s">
        <x:v>125</x:v>
      </x:c>
      <x:c r="D122" s="115"/>
      <x:c r="E122" s="117" t="s">
        <x:v>44</x:v>
      </x:c>
      <x:c r="F122" s="117" t="s">
        <x:v>89</x:v>
      </x:c>
      <x:c r="G122" s="117"/>
      <x:c r="H122" s="117" t="s">
        <x:v>42</x:v>
      </x:c>
      <x:c r="I122" s="115" t="s">
        <x:v>104</x:v>
      </x:c>
      <x:c r="J122" s="103" t="s">
        <x:v>142</x:v>
      </x:c>
      <x:c r="L122" s="105"/>
      <x:c r="M122" s="105"/>
      <x:c r="N122" s="105"/>
    </x:row>
    <x:row r="123" ht="13.5" customHeight="1">
      <x:c r="A123" s="131">
        <x:v>2022</x:v>
      </x:c>
      <x:c r="B123" s="126" t="s">
        <x:v>124</x:v>
      </x:c>
      <x:c r="C123" s="126" t="s">
        <x:v>125</x:v>
      </x:c>
      <x:c r="D123" s="126"/>
      <x:c r="E123" s="127" t="s">
        <x:v>41</x:v>
      </x:c>
      <x:c r="F123" s="127" t="s">
        <x:v>88</x:v>
      </x:c>
      <x:c r="G123" s="127"/>
      <x:c r="H123" s="127" t="s">
        <x:v>43</x:v>
      </x:c>
      <x:c r="I123" s="126" t="s">
        <x:v>105</x:v>
      </x:c>
      <x:c r="J123" s="141" t="s">
        <x:v>126</x:v>
      </x:c>
      <x:c r="L123" s="105"/>
      <x:c r="M123" s="105"/>
      <x:c r="N123" s="105"/>
    </x:row>
    <x:row r="124" ht="13.5" customHeight="1">
      <x:c r="A124" s="132">
        <x:v>2022</x:v>
      </x:c>
      <x:c r="B124" s="115" t="s">
        <x:v>124</x:v>
      </x:c>
      <x:c r="C124" s="115" t="s">
        <x:v>125</x:v>
      </x:c>
      <x:c r="D124" s="115"/>
      <x:c r="E124" s="117" t="s">
        <x:v>43</x:v>
      </x:c>
      <x:c r="F124" s="117" t="s">
        <x:v>89</x:v>
      </x:c>
      <x:c r="G124" s="117"/>
      <x:c r="H124" s="117" t="s">
        <x:v>41</x:v>
      </x:c>
      <x:c r="I124" s="115" t="s">
        <x:v>105</x:v>
      </x:c>
      <x:c r="J124" s="103" t="s">
        <x:v>126</x:v>
      </x:c>
      <x:c r="L124" s="105"/>
      <x:c r="M124" s="105"/>
      <x:c r="N124" s="105"/>
    </x:row>
    <x:row r="125" ht="13.5" customHeight="1">
      <x:c r="A125" s="131">
        <x:v>2025</x:v>
      </x:c>
      <x:c r="B125" s="144" t="s">
        <x:v>115</x:v>
      </x:c>
      <x:c r="C125" s="126" t="s">
        <x:v>116</x:v>
      </x:c>
      <x:c r="D125" s="126"/>
      <x:c r="E125" s="127" t="s">
        <x:v>42</x:v>
      </x:c>
      <x:c r="F125" s="127" t="s">
        <x:v>88</x:v>
      </x:c>
      <x:c r="G125" s="127" t="s">
        <x:v>51</x:v>
      </x:c>
      <x:c r="H125" s="127"/>
      <x:c r="I125" s="126" t="s">
        <x:v>103</x:v>
      </x:c>
      <x:c r="J125" s="125" t="s">
        <x:v>136</x:v>
      </x:c>
      <x:c r="L125" s="105"/>
      <x:c r="M125" s="105"/>
      <x:c r="N125" s="105"/>
    </x:row>
    <x:row r="126" ht="13.5" customHeight="1">
      <x:c r="A126" s="131">
        <x:v>2025</x:v>
      </x:c>
      <x:c r="B126" s="126" t="s">
        <x:v>115</x:v>
      </x:c>
      <x:c r="C126" s="126" t="s">
        <x:v>116</x:v>
      </x:c>
      <x:c r="D126" s="126"/>
      <x:c r="E126" s="127" t="s">
        <x:v>51</x:v>
      </x:c>
      <x:c r="F126" s="127" t="s">
        <x:v>88</x:v>
      </x:c>
      <x:c r="G126" s="127" t="s">
        <x:v>42</x:v>
      </x:c>
      <x:c r="H126" s="127"/>
      <x:c r="I126" s="126" t="s">
        <x:v>103</x:v>
      </x:c>
      <x:c r="J126" s="125" t="s">
        <x:v>136</x:v>
      </x:c>
      <x:c r="L126" s="105"/>
      <x:c r="M126" s="105"/>
      <x:c r="N126" s="105"/>
    </x:row>
    <x:row r="127" ht="13.5" customHeight="1">
      <x:c r="A127" s="132">
        <x:v>2025</x:v>
      </x:c>
      <x:c r="B127" s="115" t="s">
        <x:v>115</x:v>
      </x:c>
      <x:c r="C127" s="115" t="s">
        <x:v>116</x:v>
      </x:c>
      <x:c r="D127" s="115"/>
      <x:c r="E127" s="117" t="s">
        <x:v>43</x:v>
      </x:c>
      <x:c r="F127" s="117" t="s">
        <x:v>89</x:v>
      </x:c>
      <x:c r="G127" s="117" t="s">
        <x:v>53</x:v>
      </x:c>
      <x:c r="H127" s="117"/>
      <x:c r="I127" s="115" t="s">
        <x:v>104</x:v>
      </x:c>
      <x:c r="J127" s="116" t="s">
        <x:v>136</x:v>
      </x:c>
      <x:c r="L127" s="105"/>
      <x:c r="M127" s="105"/>
      <x:c r="N127" s="105"/>
    </x:row>
    <x:row r="128" ht="13.5" customHeight="1">
      <x:c r="A128" s="132">
        <x:v>2025</x:v>
      </x:c>
      <x:c r="B128" s="115" t="s">
        <x:v>115</x:v>
      </x:c>
      <x:c r="C128" s="115" t="s">
        <x:v>116</x:v>
      </x:c>
      <x:c r="D128" s="115"/>
      <x:c r="E128" s="117" t="s">
        <x:v>53</x:v>
      </x:c>
      <x:c r="F128" s="117" t="s">
        <x:v>89</x:v>
      </x:c>
      <x:c r="G128" s="117" t="s">
        <x:v>43</x:v>
      </x:c>
      <x:c r="H128" s="117"/>
      <x:c r="I128" s="115" t="s">
        <x:v>104</x:v>
      </x:c>
      <x:c r="J128" s="116" t="s">
        <x:v>136</x:v>
      </x:c>
      <x:c r="L128" s="105"/>
      <x:c r="M128" s="105"/>
      <x:c r="N128" s="105"/>
    </x:row>
    <x:row r="129" ht="13.5" customHeight="1">
      <x:c r="A129" s="131">
        <x:v>2025</x:v>
      </x:c>
      <x:c r="B129" s="144" t="s">
        <x:v>118</x:v>
      </x:c>
      <x:c r="C129" s="126" t="s">
        <x:v>116</x:v>
      </x:c>
      <x:c r="D129" s="126"/>
      <x:c r="E129" s="127" t="s">
        <x:v>41</x:v>
      </x:c>
      <x:c r="F129" s="127" t="s">
        <x:v>88</x:v>
      </x:c>
      <x:c r="G129" s="127" t="s">
        <x:v>50</x:v>
      </x:c>
      <x:c r="H129" s="127"/>
      <x:c r="I129" s="126" t="s">
        <x:v>104</x:v>
      </x:c>
      <x:c r="J129" s="125" t="s">
        <x:v>127</x:v>
      </x:c>
      <x:c r="L129" s="105"/>
      <x:c r="M129" s="105"/>
      <x:c r="N129" s="105"/>
    </x:row>
    <x:row r="130" ht="13.5" customHeight="1">
      <x:c r="A130" s="131">
        <x:v>2025</x:v>
      </x:c>
      <x:c r="B130" s="126" t="s">
        <x:v>118</x:v>
      </x:c>
      <x:c r="C130" s="126" t="s">
        <x:v>116</x:v>
      </x:c>
      <x:c r="D130" s="126"/>
      <x:c r="E130" s="127" t="s">
        <x:v>50</x:v>
      </x:c>
      <x:c r="F130" s="127" t="s">
        <x:v>88</x:v>
      </x:c>
      <x:c r="G130" s="127" t="s">
        <x:v>41</x:v>
      </x:c>
      <x:c r="H130" s="127"/>
      <x:c r="I130" s="126" t="s">
        <x:v>104</x:v>
      </x:c>
      <x:c r="J130" s="125" t="s">
        <x:v>127</x:v>
      </x:c>
      <x:c r="L130" s="105"/>
      <x:c r="M130" s="105"/>
      <x:c r="N130" s="105"/>
    </x:row>
    <x:row r="131" ht="13.5" customHeight="1">
      <x:c r="A131" s="132">
        <x:v>2025</x:v>
      </x:c>
      <x:c r="B131" s="115" t="s">
        <x:v>118</x:v>
      </x:c>
      <x:c r="C131" s="115" t="s">
        <x:v>116</x:v>
      </x:c>
      <x:c r="D131" s="115"/>
      <x:c r="E131" s="117" t="s">
        <x:v>44</x:v>
      </x:c>
      <x:c r="F131" s="117" t="s">
        <x:v>89</x:v>
      </x:c>
      <x:c r="G131" s="117" t="s">
        <x:v>52</x:v>
      </x:c>
      <x:c r="H131" s="117"/>
      <x:c r="I131" s="115" t="s">
        <x:v>103</x:v>
      </x:c>
      <x:c r="J131" s="116" t="s">
        <x:v>127</x:v>
      </x:c>
      <x:c r="L131" s="105"/>
      <x:c r="M131" s="105"/>
      <x:c r="N131" s="105"/>
    </x:row>
    <x:row r="132" ht="13.5" customHeight="1">
      <x:c r="A132" s="132">
        <x:v>2025</x:v>
      </x:c>
      <x:c r="B132" s="115" t="s">
        <x:v>118</x:v>
      </x:c>
      <x:c r="C132" s="115" t="s">
        <x:v>116</x:v>
      </x:c>
      <x:c r="D132" s="115"/>
      <x:c r="E132" s="117" t="s">
        <x:v>52</x:v>
      </x:c>
      <x:c r="F132" s="117" t="s">
        <x:v>89</x:v>
      </x:c>
      <x:c r="G132" s="117" t="s">
        <x:v>44</x:v>
      </x:c>
      <x:c r="H132" s="117"/>
      <x:c r="I132" s="115" t="s">
        <x:v>103</x:v>
      </x:c>
      <x:c r="J132" s="116" t="s">
        <x:v>127</x:v>
      </x:c>
      <x:c r="L132" s="105"/>
      <x:c r="M132" s="105"/>
      <x:c r="N132" s="105"/>
    </x:row>
    <x:row r="133" ht="13.5" customHeight="1">
      <x:c r="A133" s="131">
        <x:v>2025</x:v>
      </x:c>
      <x:c r="B133" s="126" t="s">
        <x:v>143</x:v>
      </x:c>
      <x:c r="C133" s="126" t="s">
        <x:v>16</x:v>
      </x:c>
      <x:c r="D133" s="126"/>
      <x:c r="E133" s="142" t="s">
        <x:v>144</x:v>
      </x:c>
      <x:c r="F133" s="127" t="s">
        <x:v>88</x:v>
      </x:c>
      <x:c r="G133" s="142" t="s">
        <x:v>144</x:v>
      </x:c>
      <x:c r="H133" s="127"/>
      <x:c r="I133" s="126" t="s">
        <x:v>104</x:v>
      </x:c>
      <x:c r="J133" s="141" t="s">
        <x:v>145</x:v>
      </x:c>
      <x:c r="L133" s="105"/>
      <x:c r="M133" s="105"/>
      <x:c r="N133" s="105"/>
    </x:row>
    <x:row r="134" ht="13.5" customHeight="1">
      <x:c r="A134" s="132">
        <x:v>2025</x:v>
      </x:c>
      <x:c r="B134" s="115" t="s">
        <x:v>143</x:v>
      </x:c>
      <x:c r="C134" s="115" t="s">
        <x:v>16</x:v>
      </x:c>
      <x:c r="D134" s="115"/>
      <x:c r="E134" s="117" t="s">
        <x:v>144</x:v>
      </x:c>
      <x:c r="F134" s="117" t="s">
        <x:v>89</x:v>
      </x:c>
      <x:c r="G134" s="117" t="s">
        <x:v>144</x:v>
      </x:c>
      <x:c r="H134" s="117"/>
      <x:c r="I134" s="115" t="s">
        <x:v>103</x:v>
      </x:c>
      <x:c r="J134" s="116" t="s">
        <x:v>145</x:v>
      </x:c>
      <x:c r="L134" s="105"/>
      <x:c r="M134" s="105"/>
      <x:c r="N134" s="105"/>
    </x:row>
    <x:row r="135" ht="13.5" customHeight="1">
      <x:c r="A135" s="131">
        <x:v>2025</x:v>
      </x:c>
      <x:c r="B135" s="126" t="s">
        <x:v>124</x:v>
      </x:c>
      <x:c r="C135" s="126" t="s">
        <x:v>125</x:v>
      </x:c>
      <x:c r="D135" s="126"/>
      <x:c r="E135" s="127" t="s">
        <x:v>41</x:v>
      </x:c>
      <x:c r="F135" s="127" t="s">
        <x:v>88</x:v>
      </x:c>
      <x:c r="G135" s="127"/>
      <x:c r="H135" s="127" t="s">
        <x:v>52</x:v>
      </x:c>
      <x:c r="I135" s="126" t="s">
        <x:v>103</x:v>
      </x:c>
      <x:c r="J135" s="125" t="s">
        <x:v>128</x:v>
      </x:c>
      <x:c r="L135" s="105"/>
      <x:c r="M135" s="105"/>
      <x:c r="N135" s="105"/>
    </x:row>
    <x:row r="136" ht="13.5" customHeight="1">
      <x:c r="A136" s="132">
        <x:v>2025</x:v>
      </x:c>
      <x:c r="B136" s="115" t="s">
        <x:v>124</x:v>
      </x:c>
      <x:c r="C136" s="115" t="s">
        <x:v>125</x:v>
      </x:c>
      <x:c r="D136" s="115"/>
      <x:c r="E136" s="117" t="s">
        <x:v>52</x:v>
      </x:c>
      <x:c r="F136" s="117" t="s">
        <x:v>89</x:v>
      </x:c>
      <x:c r="G136" s="117"/>
      <x:c r="H136" s="117" t="s">
        <x:v>41</x:v>
      </x:c>
      <x:c r="I136" s="115" t="s">
        <x:v>104</x:v>
      </x:c>
      <x:c r="J136" s="116" t="s">
        <x:v>128</x:v>
      </x:c>
      <x:c r="L136" s="105"/>
      <x:c r="M136" s="105"/>
      <x:c r="N136" s="105"/>
    </x:row>
    <x:row r="137" ht="13.5" customHeight="1">
      <x:c r="A137" s="131">
        <x:v>2025</x:v>
      </x:c>
      <x:c r="B137" s="126" t="s">
        <x:v>124</x:v>
      </x:c>
      <x:c r="C137" s="126" t="s">
        <x:v>125</x:v>
      </x:c>
      <x:c r="D137" s="126"/>
      <x:c r="E137" s="127" t="s">
        <x:v>51</x:v>
      </x:c>
      <x:c r="F137" s="127" t="s">
        <x:v>88</x:v>
      </x:c>
      <x:c r="G137" s="127"/>
      <x:c r="H137" s="127" t="s">
        <x:v>53</x:v>
      </x:c>
      <x:c r="I137" s="126" t="s">
        <x:v>104</x:v>
      </x:c>
      <x:c r="J137" s="125" t="s">
        <x:v>146</x:v>
      </x:c>
      <x:c r="L137" s="105"/>
      <x:c r="M137" s="105"/>
      <x:c r="N137" s="105"/>
    </x:row>
    <x:row r="138" ht="13.5" customHeight="1">
      <x:c r="A138" s="132">
        <x:v>2025</x:v>
      </x:c>
      <x:c r="B138" s="115" t="s">
        <x:v>124</x:v>
      </x:c>
      <x:c r="C138" s="115" t="s">
        <x:v>125</x:v>
      </x:c>
      <x:c r="D138" s="115"/>
      <x:c r="E138" s="117" t="s">
        <x:v>53</x:v>
      </x:c>
      <x:c r="F138" s="117" t="s">
        <x:v>89</x:v>
      </x:c>
      <x:c r="G138" s="117"/>
      <x:c r="H138" s="117" t="s">
        <x:v>51</x:v>
      </x:c>
      <x:c r="I138" s="115" t="s">
        <x:v>103</x:v>
      </x:c>
      <x:c r="J138" s="116" t="s">
        <x:v>146</x:v>
      </x:c>
      <x:c r="L138" s="105"/>
      <x:c r="M138" s="105"/>
      <x:c r="N138" s="105"/>
    </x:row>
    <x:row r="139" ht="13.5" customHeight="1">
      <x:c r="A139" s="131">
        <x:v>2025</x:v>
      </x:c>
      <x:c r="B139" s="126" t="s">
        <x:v>124</x:v>
      </x:c>
      <x:c r="C139" s="126" t="s">
        <x:v>125</x:v>
      </x:c>
      <x:c r="D139" s="126"/>
      <x:c r="E139" s="127" t="s">
        <x:v>42</x:v>
      </x:c>
      <x:c r="F139" s="127" t="s">
        <x:v>88</x:v>
      </x:c>
      <x:c r="G139" s="127"/>
      <x:c r="H139" s="127" t="s">
        <x:v>43</x:v>
      </x:c>
      <x:c r="I139" s="126" t="s">
        <x:v>104</x:v>
      </x:c>
      <x:c r="J139" s="125" t="s">
        <x:v>130</x:v>
      </x:c>
      <x:c r="L139" s="105"/>
      <x:c r="M139" s="105"/>
      <x:c r="N139" s="105"/>
    </x:row>
    <x:row r="140" ht="13.5" customHeight="1">
      <x:c r="A140" s="132">
        <x:v>2025</x:v>
      </x:c>
      <x:c r="B140" s="115" t="s">
        <x:v>124</x:v>
      </x:c>
      <x:c r="C140" s="115" t="s">
        <x:v>125</x:v>
      </x:c>
      <x:c r="D140" s="115"/>
      <x:c r="E140" s="117" t="s">
        <x:v>43</x:v>
      </x:c>
      <x:c r="F140" s="117" t="s">
        <x:v>89</x:v>
      </x:c>
      <x:c r="G140" s="117"/>
      <x:c r="H140" s="117" t="s">
        <x:v>42</x:v>
      </x:c>
      <x:c r="I140" s="115" t="s">
        <x:v>103</x:v>
      </x:c>
      <x:c r="J140" s="116" t="s">
        <x:v>130</x:v>
      </x:c>
      <x:c r="L140" s="105"/>
      <x:c r="M140" s="105"/>
      <x:c r="N140" s="105"/>
    </x:row>
    <x:row r="141" ht="13.5" customHeight="1">
      <x:c r="A141" s="131">
        <x:v>2025</x:v>
      </x:c>
      <x:c r="B141" s="126" t="s">
        <x:v>124</x:v>
      </x:c>
      <x:c r="C141" s="126" t="s">
        <x:v>125</x:v>
      </x:c>
      <x:c r="D141" s="126"/>
      <x:c r="E141" s="127" t="s">
        <x:v>50</x:v>
      </x:c>
      <x:c r="F141" s="127" t="s">
        <x:v>88</x:v>
      </x:c>
      <x:c r="G141" s="127"/>
      <x:c r="H141" s="127" t="s">
        <x:v>44</x:v>
      </x:c>
      <x:c r="I141" s="126" t="s">
        <x:v>104</x:v>
      </x:c>
      <x:c r="J141" s="125" t="s">
        <x:v>146</x:v>
      </x:c>
      <x:c r="L141" s="105"/>
      <x:c r="M141" s="105"/>
      <x:c r="N141" s="105"/>
    </x:row>
    <x:row r="142" ht="13.5" customHeight="1">
      <x:c r="A142" s="132">
        <x:v>2025</x:v>
      </x:c>
      <x:c r="B142" s="109" t="s">
        <x:v>124</x:v>
      </x:c>
      <x:c r="C142" s="109" t="s">
        <x:v>125</x:v>
      </x:c>
      <x:c r="D142" s="109"/>
      <x:c r="E142" s="108" t="s">
        <x:v>44</x:v>
      </x:c>
      <x:c r="F142" s="108" t="s">
        <x:v>89</x:v>
      </x:c>
      <x:c r="G142" s="108"/>
      <x:c r="H142" s="108" t="s">
        <x:v>50</x:v>
      </x:c>
      <x:c r="I142" s="109" t="s">
        <x:v>103</x:v>
      </x:c>
      <x:c r="J142" s="118" t="s">
        <x:v>146</x:v>
      </x:c>
      <x:c r="L142" s="105"/>
      <x:c r="M142" s="105"/>
      <x:c r="N142" s="105"/>
    </x:row>
    <x:row r="143" ht="13.5" customHeight="1">
      <x:c r="A143" s="139">
        <x:v>2026</x:v>
      </x:c>
      <x:c r="B143" s="101" t="s">
        <x:v>147</x:v>
      </x:c>
      <x:c r="C143" s="101" t="s">
        <x:v>16</x:v>
      </x:c>
      <x:c r="D143" s="101" t="s">
        <x:v>17</x:v>
      </x:c>
      <x:c r="E143" s="102" t="s">
        <x:v>144</x:v>
      </x:c>
      <x:c r="F143" s="102" t="s">
        <x:v>89</x:v>
      </x:c>
      <x:c r="G143" s="102" t="s">
        <x:v>144</x:v>
      </x:c>
      <x:c r="H143" s="102"/>
      <x:c r="I143" s="101"/>
      <x:c r="J143" s="103"/>
      <x:c r="L143" s="105"/>
      <x:c r="M143" s="105"/>
      <x:c r="N143" s="105"/>
    </x:row>
    <x:row r="144" ht="13.5" customHeight="1">
      <x:c r="A144" s="139">
        <x:v>2026</x:v>
      </x:c>
      <x:c r="B144" s="101" t="s">
        <x:v>147</x:v>
      </x:c>
      <x:c r="C144" s="101" t="s">
        <x:v>16</x:v>
      </x:c>
      <x:c r="D144" s="101" t="s">
        <x:v>19</x:v>
      </x:c>
      <x:c r="E144" s="102" t="s">
        <x:v>144</x:v>
      </x:c>
      <x:c r="F144" s="102" t="s">
        <x:v>89</x:v>
      </x:c>
      <x:c r="G144" s="102" t="s">
        <x:v>144</x:v>
      </x:c>
      <x:c r="H144" s="102"/>
      <x:c r="I144" s="101"/>
      <x:c r="J144" s="103"/>
      <x:c r="L144" s="105"/>
      <x:c r="M144" s="105"/>
      <x:c r="N144" s="105"/>
    </x:row>
    <x:row r="145" ht="13.5" customHeight="1">
      <x:c r="A145" s="139">
        <x:v>2026</x:v>
      </x:c>
      <x:c r="B145" s="101" t="s">
        <x:v>147</x:v>
      </x:c>
      <x:c r="C145" s="101" t="s">
        <x:v>16</x:v>
      </x:c>
      <x:c r="D145" s="101" t="s">
        <x:v>148</x:v>
      </x:c>
      <x:c r="E145" s="102" t="s">
        <x:v>144</x:v>
      </x:c>
      <x:c r="F145" s="102" t="s">
        <x:v>89</x:v>
      </x:c>
      <x:c r="G145" s="102" t="s">
        <x:v>144</x:v>
      </x:c>
      <x:c r="H145" s="102"/>
      <x:c r="I145" s="101"/>
      <x:c r="J145" s="103"/>
      <x:c r="L145" s="105"/>
      <x:c r="M145" s="105"/>
      <x:c r="N145" s="105"/>
    </x:row>
    <x:row r="146" ht="13.5" customHeight="1">
      <x:c r="A146" s="139">
        <x:v>2026</x:v>
      </x:c>
      <x:c r="B146" s="101" t="s">
        <x:v>147</x:v>
      </x:c>
      <x:c r="C146" s="101" t="s">
        <x:v>16</x:v>
      </x:c>
      <x:c r="D146" s="101" t="s">
        <x:v>17</x:v>
      </x:c>
      <x:c r="E146" s="102" t="s">
        <x:v>144</x:v>
      </x:c>
      <x:c r="F146" s="102" t="s">
        <x:v>88</x:v>
      </x:c>
      <x:c r="G146" s="102" t="s">
        <x:v>144</x:v>
      </x:c>
      <x:c r="H146" s="102"/>
      <x:c r="I146" s="101"/>
      <x:c r="J146" s="103"/>
      <x:c r="L146" s="105"/>
      <x:c r="M146" s="105"/>
      <x:c r="N146" s="105"/>
    </x:row>
    <x:row r="147" ht="13.5" customHeight="1">
      <x:c r="A147" s="139">
        <x:v>2026</x:v>
      </x:c>
      <x:c r="B147" s="101" t="s">
        <x:v>147</x:v>
      </x:c>
      <x:c r="C147" s="101" t="s">
        <x:v>16</x:v>
      </x:c>
      <x:c r="D147" s="101" t="s">
        <x:v>19</x:v>
      </x:c>
      <x:c r="E147" s="102" t="s">
        <x:v>144</x:v>
      </x:c>
      <x:c r="F147" s="102" t="s">
        <x:v>88</x:v>
      </x:c>
      <x:c r="G147" s="102" t="s">
        <x:v>144</x:v>
      </x:c>
      <x:c r="H147" s="102"/>
      <x:c r="I147" s="101"/>
      <x:c r="J147" s="103"/>
      <x:c r="L147" s="105"/>
      <x:c r="M147" s="105"/>
      <x:c r="N147" s="105"/>
    </x:row>
    <x:row r="148" ht="13.5" customHeight="1">
      <x:c r="A148" s="139">
        <x:v>2026</x:v>
      </x:c>
      <x:c r="B148" s="101" t="s">
        <x:v>147</x:v>
      </x:c>
      <x:c r="C148" s="101" t="s">
        <x:v>16</x:v>
      </x:c>
      <x:c r="D148" s="101" t="s">
        <x:v>148</x:v>
      </x:c>
      <x:c r="E148" s="102" t="s">
        <x:v>144</x:v>
      </x:c>
      <x:c r="F148" s="102" t="s">
        <x:v>88</x:v>
      </x:c>
      <x:c r="G148" s="102" t="s">
        <x:v>144</x:v>
      </x:c>
      <x:c r="H148" s="102"/>
      <x:c r="I148" s="101"/>
      <x:c r="J148" s="103"/>
      <x:c r="L148" s="105"/>
      <x:c r="M148" s="105"/>
      <x:c r="N148" s="105"/>
    </x:row>
    <x:row r="149" ht="13.5">
      <x:c r="A149" s="139">
        <x:v>2026</x:v>
      </x:c>
      <x:c r="B149" s="101" t="s">
        <x:v>120</x:v>
      </x:c>
      <x:c r="C149" s="101" t="s">
        <x:v>116</x:v>
      </x:c>
      <x:c r="D149" s="101" t="s">
        <x:v>17</x:v>
      </x:c>
      <x:c r="E149" s="102" t="s">
        <x:v>43</x:v>
      </x:c>
      <x:c r="F149" s="102" t="s">
        <x:v>89</x:v>
      </x:c>
      <x:c r="G149" s="102"/>
      <x:c r="H149" s="102"/>
      <x:c r="I149" s="101"/>
      <x:c r="J149" s="103"/>
    </x:row>
    <x:row r="150" ht="13.5">
      <x:c r="A150" s="139">
        <x:v>2026</x:v>
      </x:c>
      <x:c r="B150" s="101" t="s">
        <x:v>120</x:v>
      </x:c>
      <x:c r="C150" s="101" t="s">
        <x:v>116</x:v>
      </x:c>
      <x:c r="D150" s="101" t="s">
        <x:v>19</x:v>
      </x:c>
      <x:c r="E150" s="102" t="s">
        <x:v>43</x:v>
      </x:c>
      <x:c r="F150" s="102" t="s">
        <x:v>89</x:v>
      </x:c>
      <x:c r="G150" s="102"/>
      <x:c r="H150" s="102"/>
      <x:c r="I150" s="101"/>
      <x:c r="J150" s="103"/>
    </x:row>
    <x:row r="151" ht="13.5">
      <x:c r="A151" s="139">
        <x:v>2026</x:v>
      </x:c>
      <x:c r="B151" s="101" t="s">
        <x:v>120</x:v>
      </x:c>
      <x:c r="C151" s="101" t="s">
        <x:v>116</x:v>
      </x:c>
      <x:c r="D151" s="101" t="s">
        <x:v>148</x:v>
      </x:c>
      <x:c r="E151" s="102" t="s">
        <x:v>43</x:v>
      </x:c>
      <x:c r="F151" s="102" t="s">
        <x:v>89</x:v>
      </x:c>
      <x:c r="G151" s="102"/>
      <x:c r="H151" s="102"/>
      <x:c r="I151" s="101"/>
      <x:c r="J151" s="103"/>
    </x:row>
    <x:row r="152" ht="13.5">
      <x:c r="A152" s="139">
        <x:v>2026</x:v>
      </x:c>
      <x:c r="B152" s="101" t="s">
        <x:v>120</x:v>
      </x:c>
      <x:c r="C152" s="101" t="s">
        <x:v>116</x:v>
      </x:c>
      <x:c r="D152" s="101" t="s">
        <x:v>17</x:v>
      </x:c>
      <x:c r="E152" s="102" t="s">
        <x:v>44</x:v>
      </x:c>
      <x:c r="F152" s="102" t="s">
        <x:v>89</x:v>
      </x:c>
      <x:c r="G152" s="102"/>
      <x:c r="H152" s="102"/>
      <x:c r="I152" s="101"/>
      <x:c r="J152" s="103"/>
    </x:row>
    <x:row r="153" ht="13.5">
      <x:c r="A153" s="139">
        <x:v>2026</x:v>
      </x:c>
      <x:c r="B153" s="101" t="s">
        <x:v>120</x:v>
      </x:c>
      <x:c r="C153" s="101" t="s">
        <x:v>116</x:v>
      </x:c>
      <x:c r="D153" s="101" t="s">
        <x:v>19</x:v>
      </x:c>
      <x:c r="E153" s="102" t="s">
        <x:v>44</x:v>
      </x:c>
      <x:c r="F153" s="102" t="s">
        <x:v>89</x:v>
      </x:c>
      <x:c r="G153" s="102"/>
      <x:c r="H153" s="102"/>
      <x:c r="I153" s="101"/>
      <x:c r="J153" s="103"/>
    </x:row>
    <x:row r="154" ht="13.5">
      <x:c r="A154" s="139">
        <x:v>2026</x:v>
      </x:c>
      <x:c r="B154" s="101" t="s">
        <x:v>120</x:v>
      </x:c>
      <x:c r="C154" s="101" t="s">
        <x:v>116</x:v>
      </x:c>
      <x:c r="D154" s="101" t="s">
        <x:v>148</x:v>
      </x:c>
      <x:c r="E154" s="102" t="s">
        <x:v>44</x:v>
      </x:c>
      <x:c r="F154" s="102" t="s">
        <x:v>89</x:v>
      </x:c>
      <x:c r="G154" s="102"/>
      <x:c r="H154" s="102"/>
      <x:c r="I154" s="101"/>
      <x:c r="J154" s="103"/>
    </x:row>
    <x:row r="155" ht="13.5">
      <x:c r="A155" s="139">
        <x:v>2026</x:v>
      </x:c>
      <x:c r="B155" s="101" t="s">
        <x:v>120</x:v>
      </x:c>
      <x:c r="C155" s="101" t="s">
        <x:v>116</x:v>
      </x:c>
      <x:c r="D155" s="101" t="s">
        <x:v>17</x:v>
      </x:c>
      <x:c r="E155" s="102" t="s">
        <x:v>42</x:v>
      </x:c>
      <x:c r="F155" s="102" t="s">
        <x:v>88</x:v>
      </x:c>
      <x:c r="G155" s="102"/>
      <x:c r="H155" s="102"/>
      <x:c r="I155" s="101"/>
      <x:c r="J155" s="103"/>
    </x:row>
    <x:row r="156" ht="13.5">
      <x:c r="A156" s="139">
        <x:v>2026</x:v>
      </x:c>
      <x:c r="B156" s="101" t="s">
        <x:v>120</x:v>
      </x:c>
      <x:c r="C156" s="101" t="s">
        <x:v>116</x:v>
      </x:c>
      <x:c r="D156" s="101" t="s">
        <x:v>19</x:v>
      </x:c>
      <x:c r="E156" s="102" t="s">
        <x:v>42</x:v>
      </x:c>
      <x:c r="F156" s="102" t="s">
        <x:v>88</x:v>
      </x:c>
      <x:c r="G156" s="102"/>
      <x:c r="H156" s="102"/>
      <x:c r="I156" s="101"/>
      <x:c r="J156" s="103"/>
    </x:row>
    <x:row r="157" ht="13.5">
      <x:c r="A157" s="139">
        <x:v>2026</x:v>
      </x:c>
      <x:c r="B157" s="101" t="s">
        <x:v>120</x:v>
      </x:c>
      <x:c r="C157" s="101" t="s">
        <x:v>116</x:v>
      </x:c>
      <x:c r="D157" s="101" t="s">
        <x:v>148</x:v>
      </x:c>
      <x:c r="E157" s="102" t="s">
        <x:v>42</x:v>
      </x:c>
      <x:c r="F157" s="102" t="s">
        <x:v>88</x:v>
      </x:c>
      <x:c r="G157" s="102"/>
      <x:c r="H157" s="102"/>
      <x:c r="I157" s="101"/>
      <x:c r="J157" s="103"/>
    </x:row>
    <x:row r="158" ht="13.5">
      <x:c r="A158" s="139">
        <x:v>2026</x:v>
      </x:c>
      <x:c r="B158" s="101" t="s">
        <x:v>120</x:v>
      </x:c>
      <x:c r="C158" s="101" t="s">
        <x:v>116</x:v>
      </x:c>
      <x:c r="D158" s="101" t="s">
        <x:v>17</x:v>
      </x:c>
      <x:c r="E158" s="102" t="s">
        <x:v>51</x:v>
      </x:c>
      <x:c r="F158" s="102" t="s">
        <x:v>88</x:v>
      </x:c>
      <x:c r="G158" s="102"/>
      <x:c r="H158" s="102"/>
      <x:c r="I158" s="101"/>
      <x:c r="J158" s="103"/>
    </x:row>
    <x:row r="159" ht="13.5">
      <x:c r="A159" s="139">
        <x:v>2026</x:v>
      </x:c>
      <x:c r="B159" s="101" t="s">
        <x:v>120</x:v>
      </x:c>
      <x:c r="C159" s="101" t="s">
        <x:v>116</x:v>
      </x:c>
      <x:c r="D159" s="101" t="s">
        <x:v>19</x:v>
      </x:c>
      <x:c r="E159" s="102" t="s">
        <x:v>51</x:v>
      </x:c>
      <x:c r="F159" s="102" t="s">
        <x:v>88</x:v>
      </x:c>
      <x:c r="G159" s="102"/>
      <x:c r="H159" s="102"/>
      <x:c r="I159" s="101"/>
      <x:c r="J159" s="103"/>
    </x:row>
    <x:row r="160" ht="13.5">
      <x:c r="A160" s="139">
        <x:v>2026</x:v>
      </x:c>
      <x:c r="B160" s="101" t="s">
        <x:v>120</x:v>
      </x:c>
      <x:c r="C160" s="101" t="s">
        <x:v>116</x:v>
      </x:c>
      <x:c r="D160" s="101" t="s">
        <x:v>148</x:v>
      </x:c>
      <x:c r="E160" s="102" t="s">
        <x:v>51</x:v>
      </x:c>
      <x:c r="F160" s="102" t="s">
        <x:v>88</x:v>
      </x:c>
      <x:c r="G160" s="102"/>
      <x:c r="H160" s="102"/>
      <x:c r="I160" s="101"/>
      <x:c r="J160" s="103"/>
    </x:row>
    <x:row r="161" ht="13.5">
      <x:c r="A161" s="139">
        <x:v>2026</x:v>
      </x:c>
      <x:c r="B161" s="101" t="s">
        <x:v>122</x:v>
      </x:c>
      <x:c r="C161" s="101" t="s">
        <x:v>116</x:v>
      </x:c>
      <x:c r="D161" s="101" t="s">
        <x:v>17</x:v>
      </x:c>
      <x:c r="E161" s="102" t="s">
        <x:v>52</x:v>
      </x:c>
      <x:c r="F161" s="102" t="s">
        <x:v>89</x:v>
      </x:c>
      <x:c r="G161" s="102"/>
      <x:c r="H161" s="102"/>
      <x:c r="I161" s="101"/>
      <x:c r="J161" s="103"/>
    </x:row>
    <x:row r="162" ht="13.5">
      <x:c r="A162" s="139">
        <x:v>2026</x:v>
      </x:c>
      <x:c r="B162" s="101" t="s">
        <x:v>122</x:v>
      </x:c>
      <x:c r="C162" s="101" t="s">
        <x:v>116</x:v>
      </x:c>
      <x:c r="D162" s="101" t="s">
        <x:v>19</x:v>
      </x:c>
      <x:c r="E162" s="102" t="s">
        <x:v>52</x:v>
      </x:c>
      <x:c r="F162" s="102" t="s">
        <x:v>89</x:v>
      </x:c>
      <x:c r="G162" s="102"/>
      <x:c r="H162" s="102"/>
      <x:c r="I162" s="101"/>
      <x:c r="J162" s="103"/>
    </x:row>
    <x:row r="163" ht="13.5">
      <x:c r="A163" s="139">
        <x:v>2026</x:v>
      </x:c>
      <x:c r="B163" s="101" t="s">
        <x:v>122</x:v>
      </x:c>
      <x:c r="C163" s="101" t="s">
        <x:v>116</x:v>
      </x:c>
      <x:c r="D163" s="101" t="s">
        <x:v>148</x:v>
      </x:c>
      <x:c r="E163" s="102" t="s">
        <x:v>52</x:v>
      </x:c>
      <x:c r="F163" s="102" t="s">
        <x:v>89</x:v>
      </x:c>
      <x:c r="G163" s="102"/>
      <x:c r="H163" s="102"/>
      <x:c r="I163" s="101"/>
      <x:c r="J163" s="103"/>
    </x:row>
    <x:row r="164" ht="13.5">
      <x:c r="A164" s="139">
        <x:v>2026</x:v>
      </x:c>
      <x:c r="B164" s="101" t="s">
        <x:v>122</x:v>
      </x:c>
      <x:c r="C164" s="101" t="s">
        <x:v>116</x:v>
      </x:c>
      <x:c r="D164" s="101" t="s">
        <x:v>17</x:v>
      </x:c>
      <x:c r="E164" s="102" t="s">
        <x:v>53</x:v>
      </x:c>
      <x:c r="F164" s="102" t="s">
        <x:v>89</x:v>
      </x:c>
      <x:c r="G164" s="102"/>
      <x:c r="H164" s="102"/>
      <x:c r="I164" s="101"/>
      <x:c r="J164" s="103"/>
    </x:row>
    <x:row r="165" ht="13.5">
      <x:c r="A165" s="139">
        <x:v>2026</x:v>
      </x:c>
      <x:c r="B165" s="101" t="s">
        <x:v>122</x:v>
      </x:c>
      <x:c r="C165" s="101" t="s">
        <x:v>116</x:v>
      </x:c>
      <x:c r="D165" s="101" t="s">
        <x:v>19</x:v>
      </x:c>
      <x:c r="E165" s="102" t="s">
        <x:v>53</x:v>
      </x:c>
      <x:c r="F165" s="102" t="s">
        <x:v>89</x:v>
      </x:c>
      <x:c r="G165" s="102"/>
      <x:c r="H165" s="102"/>
      <x:c r="I165" s="101"/>
      <x:c r="J165" s="103"/>
    </x:row>
    <x:row r="166" ht="13.5">
      <x:c r="A166" s="139">
        <x:v>2026</x:v>
      </x:c>
      <x:c r="B166" s="101" t="s">
        <x:v>122</x:v>
      </x:c>
      <x:c r="C166" s="101" t="s">
        <x:v>116</x:v>
      </x:c>
      <x:c r="D166" s="101" t="s">
        <x:v>148</x:v>
      </x:c>
      <x:c r="E166" s="102" t="s">
        <x:v>53</x:v>
      </x:c>
      <x:c r="F166" s="102" t="s">
        <x:v>89</x:v>
      </x:c>
      <x:c r="G166" s="102"/>
      <x:c r="H166" s="102"/>
      <x:c r="I166" s="101"/>
      <x:c r="J166" s="103"/>
    </x:row>
    <x:row r="167" ht="13.5">
      <x:c r="A167" s="139">
        <x:v>2026</x:v>
      </x:c>
      <x:c r="B167" s="101" t="s">
        <x:v>122</x:v>
      </x:c>
      <x:c r="C167" s="101" t="s">
        <x:v>116</x:v>
      </x:c>
      <x:c r="D167" s="101" t="s">
        <x:v>17</x:v>
      </x:c>
      <x:c r="E167" s="102" t="s">
        <x:v>41</x:v>
      </x:c>
      <x:c r="F167" s="102" t="s">
        <x:v>88</x:v>
      </x:c>
      <x:c r="G167" s="102"/>
      <x:c r="H167" s="102"/>
      <x:c r="I167" s="101"/>
      <x:c r="J167" s="103"/>
    </x:row>
    <x:row r="168" ht="13.5">
      <x:c r="A168" s="139">
        <x:v>2026</x:v>
      </x:c>
      <x:c r="B168" s="101" t="s">
        <x:v>122</x:v>
      </x:c>
      <x:c r="C168" s="101" t="s">
        <x:v>116</x:v>
      </x:c>
      <x:c r="D168" s="101" t="s">
        <x:v>19</x:v>
      </x:c>
      <x:c r="E168" s="102" t="s">
        <x:v>41</x:v>
      </x:c>
      <x:c r="F168" s="102" t="s">
        <x:v>88</x:v>
      </x:c>
      <x:c r="G168" s="102"/>
      <x:c r="H168" s="102"/>
      <x:c r="I168" s="101"/>
      <x:c r="J168" s="103"/>
    </x:row>
    <x:row r="169" ht="13.5">
      <x:c r="A169" s="139">
        <x:v>2026</x:v>
      </x:c>
      <x:c r="B169" s="101" t="s">
        <x:v>122</x:v>
      </x:c>
      <x:c r="C169" s="101" t="s">
        <x:v>116</x:v>
      </x:c>
      <x:c r="D169" s="101" t="s">
        <x:v>148</x:v>
      </x:c>
      <x:c r="E169" s="102" t="s">
        <x:v>41</x:v>
      </x:c>
      <x:c r="F169" s="102" t="s">
        <x:v>88</x:v>
      </x:c>
      <x:c r="G169" s="102"/>
      <x:c r="H169" s="102"/>
      <x:c r="I169" s="101"/>
      <x:c r="J169" s="103"/>
    </x:row>
    <x:row r="170" ht="13.5">
      <x:c r="A170" s="139">
        <x:v>2026</x:v>
      </x:c>
      <x:c r="B170" s="101" t="s">
        <x:v>122</x:v>
      </x:c>
      <x:c r="C170" s="101" t="s">
        <x:v>116</x:v>
      </x:c>
      <x:c r="D170" s="101" t="s">
        <x:v>17</x:v>
      </x:c>
      <x:c r="E170" s="102" t="s">
        <x:v>50</x:v>
      </x:c>
      <x:c r="F170" s="102" t="s">
        <x:v>88</x:v>
      </x:c>
      <x:c r="G170" s="102"/>
      <x:c r="H170" s="102"/>
      <x:c r="I170" s="101"/>
      <x:c r="J170" s="103"/>
    </x:row>
    <x:row r="171" ht="13.5">
      <x:c r="A171" s="139">
        <x:v>2026</x:v>
      </x:c>
      <x:c r="B171" s="101" t="s">
        <x:v>122</x:v>
      </x:c>
      <x:c r="C171" s="101" t="s">
        <x:v>116</x:v>
      </x:c>
      <x:c r="D171" s="101" t="s">
        <x:v>19</x:v>
      </x:c>
      <x:c r="E171" s="102" t="s">
        <x:v>50</x:v>
      </x:c>
      <x:c r="F171" s="102" t="s">
        <x:v>88</x:v>
      </x:c>
      <x:c r="G171" s="102"/>
      <x:c r="H171" s="102"/>
      <x:c r="I171" s="101"/>
      <x:c r="J171" s="103"/>
    </x:row>
    <x:row r="172" ht="13.5">
      <x:c r="A172" s="139">
        <x:v>2026</x:v>
      </x:c>
      <x:c r="B172" s="101" t="s">
        <x:v>122</x:v>
      </x:c>
      <x:c r="C172" s="101" t="s">
        <x:v>116</x:v>
      </x:c>
      <x:c r="D172" s="101" t="s">
        <x:v>148</x:v>
      </x:c>
      <x:c r="E172" s="102" t="s">
        <x:v>50</x:v>
      </x:c>
      <x:c r="F172" s="102" t="s">
        <x:v>88</x:v>
      </x:c>
      <x:c r="G172" s="102"/>
      <x:c r="H172" s="102"/>
      <x:c r="I172" s="101"/>
      <x:c r="J172" s="103"/>
    </x:row>
    <x:row r="173" ht="13.5">
      <x:c r="A173" s="139">
        <x:v>2026</x:v>
      </x:c>
      <x:c r="B173" s="101" t="s">
        <x:v>124</x:v>
      </x:c>
      <x:c r="C173" s="101" t="s">
        <x:v>125</x:v>
      </x:c>
      <x:c r="D173" s="101" t="s">
        <x:v>17</x:v>
      </x:c>
      <x:c r="E173" s="102" t="s">
        <x:v>43</x:v>
      </x:c>
      <x:c r="F173" s="102" t="s">
        <x:v>89</x:v>
      </x:c>
      <x:c r="G173" s="102"/>
      <x:c r="H173" s="102"/>
      <x:c r="I173" s="101"/>
      <x:c r="J173" s="103"/>
    </x:row>
    <x:row r="174" ht="13.5">
      <x:c r="A174" s="139">
        <x:v>2026</x:v>
      </x:c>
      <x:c r="B174" s="101" t="s">
        <x:v>124</x:v>
      </x:c>
      <x:c r="C174" s="101" t="s">
        <x:v>125</x:v>
      </x:c>
      <x:c r="D174" s="101" t="s">
        <x:v>19</x:v>
      </x:c>
      <x:c r="E174" s="102" t="s">
        <x:v>43</x:v>
      </x:c>
      <x:c r="F174" s="102" t="s">
        <x:v>89</x:v>
      </x:c>
      <x:c r="G174" s="102"/>
      <x:c r="H174" s="102"/>
      <x:c r="I174" s="101"/>
      <x:c r="J174" s="103"/>
    </x:row>
    <x:row r="175" ht="13.5">
      <x:c r="A175" s="139">
        <x:v>2026</x:v>
      </x:c>
      <x:c r="B175" s="101" t="s">
        <x:v>124</x:v>
      </x:c>
      <x:c r="C175" s="101" t="s">
        <x:v>125</x:v>
      </x:c>
      <x:c r="D175" s="101" t="s">
        <x:v>148</x:v>
      </x:c>
      <x:c r="E175" s="102" t="s">
        <x:v>43</x:v>
      </x:c>
      <x:c r="F175" s="102" t="s">
        <x:v>89</x:v>
      </x:c>
      <x:c r="G175" s="102"/>
      <x:c r="H175" s="102"/>
      <x:c r="I175" s="101"/>
      <x:c r="J175" s="103"/>
    </x:row>
    <x:row r="176" ht="13.5">
      <x:c r="A176" s="139">
        <x:v>2026</x:v>
      </x:c>
      <x:c r="B176" s="101" t="s">
        <x:v>124</x:v>
      </x:c>
      <x:c r="C176" s="101" t="s">
        <x:v>125</x:v>
      </x:c>
      <x:c r="D176" s="101" t="s">
        <x:v>17</x:v>
      </x:c>
      <x:c r="E176" s="102" t="s">
        <x:v>44</x:v>
      </x:c>
      <x:c r="F176" s="102" t="s">
        <x:v>89</x:v>
      </x:c>
      <x:c r="G176" s="102"/>
      <x:c r="H176" s="102"/>
      <x:c r="I176" s="101"/>
      <x:c r="J176" s="103"/>
    </x:row>
    <x:row r="177" ht="13.5">
      <x:c r="A177" s="139">
        <x:v>2026</x:v>
      </x:c>
      <x:c r="B177" s="101" t="s">
        <x:v>124</x:v>
      </x:c>
      <x:c r="C177" s="101" t="s">
        <x:v>125</x:v>
      </x:c>
      <x:c r="D177" s="101" t="s">
        <x:v>19</x:v>
      </x:c>
      <x:c r="E177" s="102" t="s">
        <x:v>44</x:v>
      </x:c>
      <x:c r="F177" s="102" t="s">
        <x:v>89</x:v>
      </x:c>
      <x:c r="G177" s="102"/>
      <x:c r="H177" s="102"/>
      <x:c r="I177" s="101"/>
      <x:c r="J177" s="103"/>
    </x:row>
    <x:row r="178" ht="13.5">
      <x:c r="A178" s="139">
        <x:v>2026</x:v>
      </x:c>
      <x:c r="B178" s="101" t="s">
        <x:v>124</x:v>
      </x:c>
      <x:c r="C178" s="101" t="s">
        <x:v>125</x:v>
      </x:c>
      <x:c r="D178" s="101" t="s">
        <x:v>148</x:v>
      </x:c>
      <x:c r="E178" s="102" t="s">
        <x:v>44</x:v>
      </x:c>
      <x:c r="F178" s="102" t="s">
        <x:v>89</x:v>
      </x:c>
      <x:c r="G178" s="102"/>
      <x:c r="H178" s="102"/>
      <x:c r="I178" s="101"/>
      <x:c r="J178" s="103"/>
    </x:row>
    <x:row r="179" ht="13.5">
      <x:c r="A179" s="139">
        <x:v>2026</x:v>
      </x:c>
      <x:c r="B179" s="101" t="s">
        <x:v>124</x:v>
      </x:c>
      <x:c r="C179" s="101" t="s">
        <x:v>125</x:v>
      </x:c>
      <x:c r="D179" s="101" t="s">
        <x:v>17</x:v>
      </x:c>
      <x:c r="E179" s="102" t="s">
        <x:v>52</x:v>
      </x:c>
      <x:c r="F179" s="102" t="s">
        <x:v>89</x:v>
      </x:c>
      <x:c r="G179" s="102"/>
      <x:c r="H179" s="102"/>
      <x:c r="I179" s="101"/>
      <x:c r="J179" s="103"/>
    </x:row>
    <x:row r="180" ht="13.5">
      <x:c r="A180" s="139">
        <x:v>2026</x:v>
      </x:c>
      <x:c r="B180" s="101" t="s">
        <x:v>124</x:v>
      </x:c>
      <x:c r="C180" s="101" t="s">
        <x:v>125</x:v>
      </x:c>
      <x:c r="D180" s="101" t="s">
        <x:v>19</x:v>
      </x:c>
      <x:c r="E180" s="102" t="s">
        <x:v>52</x:v>
      </x:c>
      <x:c r="F180" s="102" t="s">
        <x:v>89</x:v>
      </x:c>
      <x:c r="G180" s="102"/>
      <x:c r="H180" s="102"/>
      <x:c r="I180" s="101"/>
      <x:c r="J180" s="103"/>
    </x:row>
    <x:row r="181" ht="13.5">
      <x:c r="A181" s="139">
        <x:v>2026</x:v>
      </x:c>
      <x:c r="B181" s="101" t="s">
        <x:v>124</x:v>
      </x:c>
      <x:c r="C181" s="101" t="s">
        <x:v>125</x:v>
      </x:c>
      <x:c r="D181" s="101" t="s">
        <x:v>148</x:v>
      </x:c>
      <x:c r="E181" s="102" t="s">
        <x:v>52</x:v>
      </x:c>
      <x:c r="F181" s="102" t="s">
        <x:v>89</x:v>
      </x:c>
      <x:c r="G181" s="102"/>
      <x:c r="H181" s="102"/>
      <x:c r="I181" s="101"/>
      <x:c r="J181" s="103"/>
    </x:row>
    <x:row r="182" ht="13.5">
      <x:c r="A182" s="139">
        <x:v>2026</x:v>
      </x:c>
      <x:c r="B182" s="101" t="s">
        <x:v>124</x:v>
      </x:c>
      <x:c r="C182" s="101" t="s">
        <x:v>125</x:v>
      </x:c>
      <x:c r="D182" s="101" t="s">
        <x:v>17</x:v>
      </x:c>
      <x:c r="E182" s="102" t="s">
        <x:v>53</x:v>
      </x:c>
      <x:c r="F182" s="102" t="s">
        <x:v>89</x:v>
      </x:c>
      <x:c r="G182" s="102"/>
      <x:c r="H182" s="102"/>
      <x:c r="I182" s="101"/>
      <x:c r="J182" s="103"/>
    </x:row>
    <x:row r="183" ht="13.5">
      <x:c r="A183" s="139">
        <x:v>2026</x:v>
      </x:c>
      <x:c r="B183" s="101" t="s">
        <x:v>124</x:v>
      </x:c>
      <x:c r="C183" s="101" t="s">
        <x:v>125</x:v>
      </x:c>
      <x:c r="D183" s="101" t="s">
        <x:v>19</x:v>
      </x:c>
      <x:c r="E183" s="102" t="s">
        <x:v>53</x:v>
      </x:c>
      <x:c r="F183" s="102" t="s">
        <x:v>89</x:v>
      </x:c>
      <x:c r="G183" s="102"/>
      <x:c r="H183" s="102"/>
      <x:c r="I183" s="101"/>
      <x:c r="J183" s="103"/>
    </x:row>
    <x:row r="184" ht="13.5">
      <x:c r="A184" s="139">
        <x:v>2026</x:v>
      </x:c>
      <x:c r="B184" s="101" t="s">
        <x:v>124</x:v>
      </x:c>
      <x:c r="C184" s="101" t="s">
        <x:v>125</x:v>
      </x:c>
      <x:c r="D184" s="101" t="s">
        <x:v>148</x:v>
      </x:c>
      <x:c r="E184" s="102" t="s">
        <x:v>53</x:v>
      </x:c>
      <x:c r="F184" s="102" t="s">
        <x:v>89</x:v>
      </x:c>
      <x:c r="G184" s="102"/>
      <x:c r="H184" s="102"/>
      <x:c r="I184" s="101"/>
      <x:c r="J184" s="103"/>
    </x:row>
    <x:row r="185" ht="13.5">
      <x:c r="A185" s="139">
        <x:v>2026</x:v>
      </x:c>
      <x:c r="B185" s="101" t="s">
        <x:v>124</x:v>
      </x:c>
      <x:c r="C185" s="101" t="s">
        <x:v>125</x:v>
      </x:c>
      <x:c r="D185" s="101" t="s">
        <x:v>17</x:v>
      </x:c>
      <x:c r="E185" s="102" t="s">
        <x:v>42</x:v>
      </x:c>
      <x:c r="F185" s="102" t="s">
        <x:v>88</x:v>
      </x:c>
      <x:c r="G185" s="102"/>
      <x:c r="H185" s="102"/>
      <x:c r="I185" s="101"/>
      <x:c r="J185" s="103"/>
    </x:row>
    <x:row r="186" ht="13.5">
      <x:c r="A186" s="139">
        <x:v>2026</x:v>
      </x:c>
      <x:c r="B186" s="101" t="s">
        <x:v>124</x:v>
      </x:c>
      <x:c r="C186" s="101" t="s">
        <x:v>125</x:v>
      </x:c>
      <x:c r="D186" s="101" t="s">
        <x:v>19</x:v>
      </x:c>
      <x:c r="E186" s="102" t="s">
        <x:v>42</x:v>
      </x:c>
      <x:c r="F186" s="102" t="s">
        <x:v>88</x:v>
      </x:c>
      <x:c r="G186" s="102"/>
      <x:c r="H186" s="102"/>
      <x:c r="I186" s="101"/>
      <x:c r="J186" s="103"/>
    </x:row>
    <x:row r="187" ht="13.5">
      <x:c r="A187" s="139">
        <x:v>2026</x:v>
      </x:c>
      <x:c r="B187" s="101" t="s">
        <x:v>124</x:v>
      </x:c>
      <x:c r="C187" s="101" t="s">
        <x:v>125</x:v>
      </x:c>
      <x:c r="D187" s="101" t="s">
        <x:v>148</x:v>
      </x:c>
      <x:c r="E187" s="102" t="s">
        <x:v>42</x:v>
      </x:c>
      <x:c r="F187" s="102" t="s">
        <x:v>88</x:v>
      </x:c>
      <x:c r="G187" s="102"/>
      <x:c r="H187" s="102"/>
      <x:c r="I187" s="101"/>
      <x:c r="J187" s="103"/>
    </x:row>
    <x:row r="188" ht="13.5">
      <x:c r="A188" s="139">
        <x:v>2026</x:v>
      </x:c>
      <x:c r="B188" s="101" t="s">
        <x:v>124</x:v>
      </x:c>
      <x:c r="C188" s="101" t="s">
        <x:v>125</x:v>
      </x:c>
      <x:c r="D188" s="101" t="s">
        <x:v>17</x:v>
      </x:c>
      <x:c r="E188" s="102" t="s">
        <x:v>51</x:v>
      </x:c>
      <x:c r="F188" s="102" t="s">
        <x:v>88</x:v>
      </x:c>
      <x:c r="G188" s="102"/>
      <x:c r="H188" s="102"/>
      <x:c r="I188" s="101"/>
      <x:c r="J188" s="103"/>
    </x:row>
    <x:row r="189" ht="13.5">
      <x:c r="A189" s="139">
        <x:v>2026</x:v>
      </x:c>
      <x:c r="B189" s="101" t="s">
        <x:v>124</x:v>
      </x:c>
      <x:c r="C189" s="101" t="s">
        <x:v>125</x:v>
      </x:c>
      <x:c r="D189" s="101" t="s">
        <x:v>19</x:v>
      </x:c>
      <x:c r="E189" s="102" t="s">
        <x:v>51</x:v>
      </x:c>
      <x:c r="F189" s="102" t="s">
        <x:v>88</x:v>
      </x:c>
      <x:c r="G189" s="102"/>
      <x:c r="H189" s="102"/>
      <x:c r="I189" s="101"/>
      <x:c r="J189" s="103"/>
    </x:row>
    <x:row r="190" ht="13.5">
      <x:c r="A190" s="139">
        <x:v>2026</x:v>
      </x:c>
      <x:c r="B190" s="101" t="s">
        <x:v>124</x:v>
      </x:c>
      <x:c r="C190" s="101" t="s">
        <x:v>125</x:v>
      </x:c>
      <x:c r="D190" s="101" t="s">
        <x:v>148</x:v>
      </x:c>
      <x:c r="E190" s="102" t="s">
        <x:v>51</x:v>
      </x:c>
      <x:c r="F190" s="102" t="s">
        <x:v>88</x:v>
      </x:c>
      <x:c r="G190" s="102"/>
      <x:c r="H190" s="102"/>
      <x:c r="I190" s="101"/>
      <x:c r="J190" s="103"/>
    </x:row>
    <x:row r="191" ht="13.5">
      <x:c r="A191" s="139">
        <x:v>2026</x:v>
      </x:c>
      <x:c r="B191" s="101" t="s">
        <x:v>124</x:v>
      </x:c>
      <x:c r="C191" s="101" t="s">
        <x:v>125</x:v>
      </x:c>
      <x:c r="D191" s="101" t="s">
        <x:v>17</x:v>
      </x:c>
      <x:c r="E191" s="102" t="s">
        <x:v>41</x:v>
      </x:c>
      <x:c r="F191" s="102" t="s">
        <x:v>88</x:v>
      </x:c>
      <x:c r="G191" s="102"/>
      <x:c r="H191" s="102"/>
      <x:c r="I191" s="101"/>
      <x:c r="J191" s="103"/>
    </x:row>
    <x:row r="192" ht="13.5">
      <x:c r="A192" s="139">
        <x:v>2026</x:v>
      </x:c>
      <x:c r="B192" s="101" t="s">
        <x:v>124</x:v>
      </x:c>
      <x:c r="C192" s="101" t="s">
        <x:v>125</x:v>
      </x:c>
      <x:c r="D192" s="101" t="s">
        <x:v>19</x:v>
      </x:c>
      <x:c r="E192" s="102" t="s">
        <x:v>41</x:v>
      </x:c>
      <x:c r="F192" s="102" t="s">
        <x:v>88</x:v>
      </x:c>
      <x:c r="G192" s="102"/>
      <x:c r="H192" s="102"/>
      <x:c r="I192" s="101"/>
      <x:c r="J192" s="103"/>
    </x:row>
    <x:row r="193" ht="13.5">
      <x:c r="A193" s="139">
        <x:v>2026</x:v>
      </x:c>
      <x:c r="B193" s="101" t="s">
        <x:v>124</x:v>
      </x:c>
      <x:c r="C193" s="101" t="s">
        <x:v>125</x:v>
      </x:c>
      <x:c r="D193" s="101" t="s">
        <x:v>148</x:v>
      </x:c>
      <x:c r="E193" s="102" t="s">
        <x:v>41</x:v>
      </x:c>
      <x:c r="F193" s="102" t="s">
        <x:v>88</x:v>
      </x:c>
      <x:c r="G193" s="102"/>
      <x:c r="H193" s="102"/>
      <x:c r="I193" s="101"/>
      <x:c r="J193" s="103"/>
    </x:row>
    <x:row r="194" ht="13.5">
      <x:c r="A194" s="139">
        <x:v>2026</x:v>
      </x:c>
      <x:c r="B194" s="101" t="s">
        <x:v>124</x:v>
      </x:c>
      <x:c r="C194" s="101" t="s">
        <x:v>125</x:v>
      </x:c>
      <x:c r="D194" s="101" t="s">
        <x:v>17</x:v>
      </x:c>
      <x:c r="E194" s="102" t="s">
        <x:v>50</x:v>
      </x:c>
      <x:c r="F194" s="102" t="s">
        <x:v>88</x:v>
      </x:c>
      <x:c r="G194" s="102"/>
      <x:c r="H194" s="102"/>
      <x:c r="I194" s="101"/>
      <x:c r="J194" s="103"/>
    </x:row>
    <x:row r="195" ht="13.5">
      <x:c r="A195" s="139">
        <x:v>2026</x:v>
      </x:c>
      <x:c r="B195" s="101" t="s">
        <x:v>124</x:v>
      </x:c>
      <x:c r="C195" s="101" t="s">
        <x:v>125</x:v>
      </x:c>
      <x:c r="D195" s="101" t="s">
        <x:v>19</x:v>
      </x:c>
      <x:c r="E195" s="102" t="s">
        <x:v>50</x:v>
      </x:c>
      <x:c r="F195" s="102" t="s">
        <x:v>88</x:v>
      </x:c>
      <x:c r="G195" s="102"/>
      <x:c r="H195" s="102"/>
      <x:c r="I195" s="101"/>
      <x:c r="J195" s="103"/>
    </x:row>
    <x:row r="196" ht="13.5">
      <x:c r="A196" s="139">
        <x:v>2026</x:v>
      </x:c>
      <x:c r="B196" s="101" t="s">
        <x:v>124</x:v>
      </x:c>
      <x:c r="C196" s="101" t="s">
        <x:v>125</x:v>
      </x:c>
      <x:c r="D196" s="101" t="s">
        <x:v>148</x:v>
      </x:c>
      <x:c r="E196" s="102" t="s">
        <x:v>50</x:v>
      </x:c>
      <x:c r="F196" s="102" t="s">
        <x:v>88</x:v>
      </x:c>
      <x:c r="G196" s="102"/>
      <x:c r="H196" s="102"/>
      <x:c r="I196" s="101"/>
      <x:c r="J196" s="103"/>
    </x:row>
    <x:row r="197" ht="13.5">
      <x:c r="A197" s="139"/>
      <x:c r="B197" s="101"/>
      <x:c r="C197" s="101"/>
      <x:c r="D197" s="101"/>
      <x:c r="E197" s="102"/>
      <x:c r="F197" s="102"/>
      <x:c r="G197" s="102"/>
      <x:c r="H197" s="102"/>
      <x:c r="I197" s="101"/>
      <x:c r="J197" s="103"/>
    </x:row>
    <x:row r="198" ht="13.5">
      <x:c r="A198" s="139"/>
      <x:c r="B198" s="101"/>
      <x:c r="C198" s="101"/>
      <x:c r="D198" s="101"/>
      <x:c r="E198" s="102"/>
      <x:c r="F198" s="102"/>
      <x:c r="G198" s="102"/>
      <x:c r="H198" s="102"/>
      <x:c r="I198" s="101"/>
      <x:c r="J198" s="103"/>
    </x:row>
    <x:row r="199" ht="13.5">
      <x:c r="A199" s="139"/>
      <x:c r="B199" s="101"/>
      <x:c r="C199" s="101"/>
      <x:c r="D199" s="101"/>
      <x:c r="E199" s="102"/>
      <x:c r="F199" s="102"/>
      <x:c r="G199" s="102"/>
      <x:c r="H199" s="102"/>
      <x:c r="I199" s="101"/>
      <x:c r="J199" s="103"/>
    </x:row>
    <x:row r="200" ht="13.5">
      <x:c r="A200" s="139"/>
      <x:c r="B200" s="101"/>
      <x:c r="C200" s="101"/>
      <x:c r="D200" s="101"/>
      <x:c r="E200" s="102"/>
      <x:c r="F200" s="102"/>
      <x:c r="G200" s="102"/>
      <x:c r="H200" s="102"/>
      <x:c r="I200" s="101"/>
      <x:c r="J200" s="103"/>
    </x:row>
    <x:row r="201" ht="13.5">
      <x:c r="A201" s="139"/>
      <x:c r="B201" s="101"/>
      <x:c r="C201" s="101"/>
      <x:c r="D201" s="101"/>
      <x:c r="E201" s="102"/>
      <x:c r="F201" s="102"/>
      <x:c r="G201" s="102"/>
      <x:c r="H201" s="102"/>
      <x:c r="I201" s="101"/>
      <x:c r="J201" s="103"/>
    </x:row>
    <x:row r="202" ht="13.5">
      <x:c r="A202" s="139"/>
      <x:c r="B202" s="101"/>
      <x:c r="C202" s="101"/>
      <x:c r="D202" s="101"/>
      <x:c r="E202" s="102"/>
      <x:c r="F202" s="102"/>
      <x:c r="G202" s="102"/>
      <x:c r="H202" s="102"/>
      <x:c r="I202" s="101"/>
      <x:c r="J202" s="103"/>
    </x:row>
    <x:row r="203" ht="13.5">
      <x:c r="K203" s="102"/>
    </x:row>
    <x:row r="204" ht="13.5">
      <x:c r="K204" s="102"/>
    </x:row>
    <x:row r="205" ht="13.5">
      <x:c r="K205" s="102"/>
    </x:row>
    <x:row r="206" ht="13.5">
      <x:c r="K206" s="102"/>
    </x:row>
    <x:row r="207" ht="13.5">
      <x:c r="K207" s="102"/>
    </x:row>
    <x:row r="208" ht="13.5">
      <x:c r="K208" s="102"/>
    </x:row>
    <x:row r="226">
      <x:c r="H226" s="1"/>
    </x:row>
    <x:row r="227">
      <x:c r="H227" s="1"/>
    </x:row>
    <x:row r="228">
      <x:c r="H228" s="1"/>
    </x:row>
    <x:row r="229">
      <x:c r="H229" s="1"/>
    </x:row>
    <x:row r="230">
      <x:c r="H230" s="1"/>
    </x:row>
    <x:row r="231">
      <x:c r="H231" s="1"/>
    </x:row>
    <x:row r="232">
      <x:c r="H232" s="1"/>
    </x:row>
    <x:row r="233">
      <x:c r="H233" s="1"/>
    </x:row>
    <x:row r="234">
      <x:c r="H234" s="1"/>
    </x:row>
    <x:row r="235">
      <x:c r="H235" s="1"/>
    </x:row>
    <x:row r="236">
      <x:c r="H236" s="1"/>
    </x:row>
    <x:row r="237">
      <x:c r="H237" s="1"/>
    </x:row>
    <x:row r="238">
      <x:c r="H238" s="1"/>
    </x:row>
    <x:row r="239">
      <x:c r="H239" s="1"/>
    </x:row>
    <x:row r="240">
      <x:c r="H240" s="1"/>
    </x:row>
    <x:row r="241">
      <x:c r="H241" s="1"/>
    </x:row>
    <x:row r="242">
      <x:c r="H242" s="1"/>
    </x:row>
    <x:row r="243">
      <x:c r="H243" s="1"/>
    </x:row>
    <x:row r="244">
      <x:c r="H244" s="1"/>
    </x:row>
    <x:row r="245">
      <x:c r="H245" s="1"/>
    </x:row>
    <x:row r="246">
      <x:c r="H246" s="1"/>
    </x:row>
    <x:row r="247">
      <x:c r="H247" s="1"/>
    </x:row>
    <x:row r="248">
      <x:c r="H248" s="1"/>
    </x:row>
    <x:row r="249">
      <x:c r="H249" s="1"/>
    </x:row>
    <x:row r="250">
      <x:c r="H250" s="1"/>
    </x:row>
    <x:row r="251">
      <x:c r="H251" s="1"/>
    </x:row>
    <x:row r="252">
      <x:c r="H252" s="1"/>
    </x:row>
    <x:row r="253">
      <x:c r="H253" s="1"/>
    </x:row>
    <x:row r="254">
      <x:c r="H254" s="1"/>
    </x:row>
    <x:row r="255">
      <x:c r="H255" s="1"/>
    </x:row>
    <x:row r="256">
      <x:c r="H256" s="1"/>
    </x:row>
    <x:row r="257">
      <x:c r="H257" s="1"/>
    </x:row>
    <x:row r="258">
      <x:c r="H258" s="1"/>
    </x:row>
    <x:row r="259">
      <x:c r="H259" s="1"/>
    </x:row>
    <x:row r="260">
      <x:c r="H260" s="1"/>
    </x:row>
    <x:row r="261">
      <x:c r="H261" s="1"/>
    </x:row>
    <x:row r="262">
      <x:c r="H262" s="1"/>
    </x:row>
    <x:row r="263">
      <x:c r="H263" s="1"/>
    </x:row>
    <x:row r="264">
      <x:c r="H264" s="1"/>
    </x:row>
    <x:row r="265">
      <x:c r="H265" s="1"/>
    </x:row>
    <x:row r="266">
      <x:c r="H266" s="1"/>
    </x:row>
    <x:row r="267">
      <x:c r="H267" s="1"/>
    </x:row>
    <x:row r="268">
      <x:c r="H268" s="1"/>
    </x:row>
    <x:row r="269">
      <x:c r="H269" s="1"/>
    </x:row>
    <x:row r="270">
      <x:c r="H270" s="1"/>
    </x:row>
    <x:row r="271">
      <x:c r="H271" s="1"/>
    </x:row>
    <x:row r="272">
      <x:c r="H272" s="1"/>
    </x:row>
    <x:row r="273">
      <x:c r="H273" s="1"/>
    </x:row>
    <x:row r="274">
      <x:c r="H274" s="1"/>
    </x:row>
    <x:row r="275">
      <x:c r="H275" s="1"/>
    </x:row>
    <x:row r="276">
      <x:c r="H276" s="1"/>
    </x:row>
    <x:row r="277">
      <x:c r="H277" s="1"/>
    </x:row>
    <x:row r="278">
      <x:c r="H278" s="1"/>
    </x:row>
    <x:row r="279">
      <x:c r="H279" s="1"/>
    </x:row>
    <x:row r="280">
      <x:c r="H280" s="1"/>
    </x:row>
    <x:row r="281">
      <x:c r="H281" s="1"/>
    </x:row>
    <x:row r="282">
      <x:c r="H282" s="1"/>
    </x:row>
    <x:row r="283">
      <x:c r="H283" s="1"/>
    </x:row>
    <x:row r="284">
      <x:c r="H284" s="1"/>
    </x:row>
    <x:row r="285">
      <x:c r="H285" s="1"/>
    </x:row>
    <x:row r="286">
      <x:c r="H286" s="1"/>
    </x:row>
    <x:row r="287">
      <x:c r="H287" s="1"/>
    </x:row>
    <x:row r="288">
      <x:c r="H288" s="1"/>
    </x:row>
    <x:row r="289">
      <x:c r="H289" s="1"/>
    </x:row>
    <x:row r="290">
      <x:c r="H290" s="1"/>
    </x:row>
    <x:row r="291">
      <x:c r="H291" s="1"/>
    </x:row>
    <x:row r="292">
      <x:c r="H292" s="1"/>
    </x:row>
    <x:row r="293">
      <x:c r="H293" s="1"/>
    </x:row>
    <x:row r="294">
      <x:c r="H294" s="1"/>
    </x:row>
    <x:row r="295">
      <x:c r="H295" s="1"/>
    </x:row>
    <x:row r="296">
      <x:c r="H296" s="1"/>
    </x:row>
    <x:row r="297">
      <x:c r="H297" s="1"/>
    </x:row>
    <x:row r="298">
      <x:c r="H298" s="1"/>
    </x:row>
    <x:row r="299">
      <x:c r="H299" s="1"/>
    </x:row>
    <x:row r="300">
      <x:c r="H300" s="1"/>
    </x:row>
    <x:row r="301">
      <x:c r="H301" s="1"/>
    </x:row>
    <x:row r="302">
      <x:c r="H302" s="1"/>
    </x:row>
    <x:row r="303">
      <x:c r="H303" s="1"/>
    </x:row>
    <x:row r="304">
      <x:c r="H304" s="1"/>
    </x:row>
    <x:row r="305">
      <x:c r="H305" s="1"/>
    </x:row>
    <x:row r="306">
      <x:c r="H306" s="1"/>
    </x:row>
    <x:row r="307">
      <x:c r="H307" s="1"/>
    </x:row>
    <x:row r="308">
      <x:c r="H308" s="1"/>
    </x:row>
    <x:row r="309">
      <x:c r="H309" s="1"/>
    </x:row>
    <x:row r="310">
      <x:c r="H310" s="1"/>
    </x:row>
    <x:row r="311">
      <x:c r="H311" s="1"/>
    </x:row>
    <x:row r="312">
      <x:c r="H312" s="1"/>
    </x:row>
    <x:row r="313">
      <x:c r="H313" s="1"/>
    </x:row>
    <x:row r="314">
      <x:c r="H314" s="1"/>
    </x:row>
    <x:row r="315">
      <x:c r="H315" s="1"/>
    </x:row>
    <x:row r="316">
      <x:c r="H316" s="1"/>
    </x:row>
    <x:row r="317">
      <x:c r="H317" s="1"/>
    </x:row>
    <x:row r="318">
      <x:c r="H318" s="1"/>
    </x:row>
    <x:row r="319">
      <x:c r="H319" s="1"/>
    </x:row>
    <x:row r="320">
      <x:c r="H320" s="1"/>
    </x:row>
    <x:row r="321">
      <x:c r="H321" s="1"/>
    </x:row>
    <x:row r="322">
      <x:c r="H322" s="1"/>
    </x:row>
    <x:row r="323">
      <x:c r="H323" s="1"/>
    </x:row>
    <x:row r="324">
      <x:c r="H324" s="1"/>
    </x:row>
    <x:row r="325">
      <x:c r="H325" s="1"/>
    </x:row>
    <x:row r="326">
      <x:c r="H326" s="1"/>
    </x:row>
    <x:row r="327">
      <x:c r="H327" s="1"/>
    </x:row>
    <x:row r="328">
      <x:c r="H328" s="1"/>
    </x:row>
    <x:row r="329">
      <x:c r="H329" s="1"/>
    </x:row>
    <x:row r="330">
      <x:c r="H330" s="1"/>
    </x:row>
    <x:row r="331">
      <x:c r="H331" s="1"/>
    </x:row>
    <x:row r="332">
      <x:c r="H332" s="1"/>
    </x:row>
    <x:row r="333">
      <x:c r="H333" s="1"/>
    </x:row>
    <x:row r="334">
      <x:c r="H334" s="1"/>
    </x:row>
    <x:row r="335">
      <x:c r="H335" s="1"/>
    </x:row>
    <x:row r="336">
      <x:c r="H336" s="1"/>
    </x:row>
    <x:row r="337">
      <x:c r="H337" s="1"/>
    </x:row>
    <x:row r="338">
      <x:c r="H338" s="1"/>
    </x:row>
    <x:row r="339">
      <x:c r="H339" s="1"/>
    </x:row>
    <x:row r="340">
      <x:c r="H340" s="1"/>
    </x:row>
    <x:row r="341">
      <x:c r="H341" s="1"/>
    </x:row>
    <x:row r="342">
      <x:c r="H342" s="1"/>
    </x:row>
    <x:row r="343">
      <x:c r="H343" s="1"/>
    </x:row>
    <x:row r="344">
      <x:c r="H344" s="1"/>
    </x:row>
    <x:row r="345">
      <x:c r="H345" s="1"/>
    </x:row>
    <x:row r="346">
      <x:c r="H346" s="1"/>
    </x:row>
    <x:row r="347">
      <x:c r="H347" s="1"/>
    </x:row>
    <x:row r="348">
      <x:c r="H348" s="1"/>
    </x:row>
    <x:row r="349">
      <x:c r="H349" s="1"/>
    </x:row>
    <x:row r="350">
      <x:c r="H350" s="1"/>
    </x:row>
    <x:row r="351">
      <x:c r="H351" s="1"/>
    </x:row>
    <x:row r="352">
      <x:c r="H352" s="1"/>
    </x:row>
    <x:row r="353">
      <x:c r="H353" s="1"/>
    </x:row>
    <x:row r="354">
      <x:c r="H354" s="1"/>
    </x:row>
    <x:row r="355">
      <x:c r="H355" s="1"/>
    </x:row>
    <x:row r="356">
      <x:c r="H356" s="1"/>
    </x:row>
    <x:row r="357">
      <x:c r="H357" s="1"/>
    </x:row>
    <x:row r="358">
      <x:c r="H358" s="1"/>
    </x:row>
    <x:row r="359">
      <x:c r="H359" s="1"/>
    </x:row>
    <x:row r="360">
      <x:c r="H360" s="1"/>
    </x:row>
    <x:row r="361">
      <x:c r="H361" s="1"/>
    </x:row>
    <x:row r="362">
      <x:c r="H362" s="1"/>
    </x:row>
    <x:row r="363">
      <x:c r="H363" s="1"/>
    </x:row>
    <x:row r="364">
      <x:c r="H364" s="1"/>
    </x:row>
    <x:row r="365">
      <x:c r="H365" s="1"/>
    </x:row>
    <x:row r="366">
      <x:c r="H366" s="1"/>
    </x:row>
    <x:row r="367">
      <x:c r="H367" s="1"/>
    </x:row>
    <x:row r="368">
      <x:c r="H368" s="1"/>
    </x:row>
    <x:row r="369">
      <x:c r="H369" s="1"/>
    </x:row>
    <x:row r="370">
      <x:c r="H370" s="1"/>
    </x:row>
    <x:row r="371">
      <x:c r="H371" s="1"/>
    </x:row>
    <x:row r="372">
      <x:c r="H372" s="1"/>
    </x:row>
    <x:row r="373">
      <x:c r="H373" s="1"/>
    </x:row>
    <x:row r="374">
      <x:c r="H374" s="1"/>
    </x:row>
    <x:row r="375">
      <x:c r="H375" s="1"/>
    </x:row>
    <x:row r="376">
      <x:c r="H376" s="1"/>
    </x:row>
    <x:row r="377">
      <x:c r="H377" s="1"/>
    </x:row>
    <x:row r="378">
      <x:c r="H378" s="1"/>
    </x:row>
    <x:row r="379">
      <x:c r="H379" s="1"/>
    </x:row>
    <x:row r="380">
      <x:c r="H380" s="1"/>
    </x:row>
    <x:row r="381">
      <x:c r="H381" s="1"/>
    </x:row>
    <x:row r="382">
      <x:c r="H382" s="1"/>
    </x:row>
    <x:row r="383">
      <x:c r="H383" s="1"/>
    </x:row>
    <x:row r="384">
      <x:c r="H384" s="1"/>
    </x:row>
    <x:row r="385">
      <x:c r="H385" s="1"/>
    </x:row>
    <x:row r="386">
      <x:c r="H386" s="1"/>
    </x:row>
    <x:row r="387">
      <x:c r="H387" s="1"/>
    </x:row>
    <x:row r="388">
      <x:c r="H388" s="1"/>
    </x:row>
    <x:row r="389">
      <x:c r="H389" s="1"/>
    </x:row>
    <x:row r="390">
      <x:c r="H390" s="1"/>
    </x:row>
    <x:row r="391">
      <x:c r="H391" s="1"/>
    </x:row>
    <x:row r="392">
      <x:c r="H392" s="1"/>
    </x:row>
    <x:row r="393">
      <x:c r="H393" s="1"/>
    </x:row>
    <x:row r="394">
      <x:c r="H394" s="1"/>
    </x:row>
    <x:row r="395">
      <x:c r="H395" s="1"/>
    </x:row>
    <x:row r="396">
      <x:c r="H396" s="1"/>
    </x:row>
    <x:row r="397">
      <x:c r="H397" s="1"/>
    </x:row>
    <x:row r="398">
      <x:c r="H398" s="1"/>
    </x:row>
    <x:row r="399">
      <x:c r="H399" s="1"/>
    </x:row>
    <x:row r="400">
      <x:c r="H400" s="1"/>
    </x:row>
    <x:row r="401">
      <x:c r="H401" s="1"/>
    </x:row>
    <x:row r="402">
      <x:c r="H402" s="1"/>
    </x:row>
    <x:row r="403">
      <x:c r="H403" s="1"/>
    </x:row>
    <x:row r="404">
      <x:c r="H404" s="1"/>
    </x:row>
    <x:row r="405">
      <x:c r="H405" s="1"/>
    </x:row>
    <x:row r="406">
      <x:c r="H406" s="1"/>
    </x:row>
    <x:row r="407">
      <x:c r="H407" s="1"/>
    </x:row>
    <x:row r="408">
      <x:c r="H408" s="1"/>
    </x:row>
    <x:row r="409">
      <x:c r="H409" s="1"/>
    </x:row>
    <x:row r="410">
      <x:c r="H410" s="1"/>
    </x:row>
    <x:row r="411">
      <x:c r="H411" s="1"/>
    </x:row>
    <x:row r="412">
      <x:c r="H412" s="1"/>
    </x:row>
    <x:row r="413">
      <x:c r="H413" s="1"/>
    </x:row>
    <x:row r="414">
      <x:c r="H414" s="1"/>
    </x:row>
    <x:row r="415">
      <x:c r="H415" s="1"/>
    </x:row>
    <x:row r="416">
      <x:c r="H416" s="1"/>
    </x:row>
    <x:row r="417">
      <x:c r="H417" s="1"/>
    </x:row>
    <x:row r="418">
      <x:c r="H418" s="1"/>
    </x:row>
    <x:row r="419">
      <x:c r="H419" s="1"/>
    </x:row>
    <x:row r="420">
      <x:c r="H420" s="1"/>
    </x:row>
    <x:row r="421">
      <x:c r="H421" s="1"/>
    </x:row>
    <x:row r="422">
      <x:c r="H422" s="1"/>
    </x:row>
    <x:row r="423">
      <x:c r="H423" s="1"/>
    </x:row>
    <x:row r="424">
      <x:c r="H424" s="1"/>
    </x:row>
    <x:row r="425">
      <x:c r="H425" s="1"/>
    </x:row>
    <x:row r="426">
      <x:c r="H426" s="1"/>
    </x:row>
    <x:row r="427">
      <x:c r="H427" s="1"/>
    </x:row>
    <x:row r="428">
      <x:c r="H428" s="1"/>
    </x:row>
    <x:row r="429">
      <x:c r="H429" s="1"/>
    </x:row>
    <x:row r="430">
      <x:c r="H430" s="1"/>
    </x:row>
    <x:row r="431">
      <x:c r="H431" s="1"/>
    </x:row>
    <x:row r="432">
      <x:c r="H432" s="1"/>
    </x:row>
    <x:row r="433">
      <x:c r="H433" s="1"/>
    </x:row>
    <x:row r="434">
      <x:c r="H434" s="1"/>
    </x:row>
    <x:row r="435">
      <x:c r="H435" s="1"/>
    </x:row>
    <x:row r="436">
      <x:c r="H436" s="1"/>
    </x:row>
    <x:row r="437">
      <x:c r="H437" s="1"/>
    </x:row>
    <x:row r="438">
      <x:c r="H438" s="1"/>
    </x:row>
    <x:row r="439">
      <x:c r="H439" s="1"/>
    </x:row>
    <x:row r="440">
      <x:c r="H440" s="1"/>
    </x:row>
    <x:row r="441">
      <x:c r="H441" s="1"/>
    </x:row>
    <x:row r="442">
      <x:c r="H442" s="1"/>
    </x:row>
    <x:row r="443">
      <x:c r="H443" s="1"/>
    </x:row>
    <x:row r="444">
      <x:c r="H444" s="1"/>
    </x:row>
    <x:row r="445">
      <x:c r="H445" s="1"/>
    </x:row>
    <x:row r="446">
      <x:c r="H446" s="1"/>
    </x:row>
    <x:row r="447">
      <x:c r="H447" s="1"/>
    </x:row>
    <x:row r="448">
      <x:c r="H448" s="1"/>
    </x:row>
    <x:row r="449">
      <x:c r="H449" s="1"/>
    </x:row>
    <x:row r="450">
      <x:c r="H450" s="1"/>
    </x:row>
    <x:row r="451">
      <x:c r="H451" s="1"/>
    </x:row>
    <x:row r="452">
      <x:c r="H452" s="1"/>
    </x:row>
    <x:row r="453">
      <x:c r="H453" s="1"/>
    </x:row>
    <x:row r="454">
      <x:c r="H454" s="1"/>
    </x:row>
    <x:row r="455">
      <x:c r="H455" s="1"/>
    </x:row>
    <x:row r="456">
      <x:c r="H456" s="1"/>
    </x:row>
    <x:row r="457">
      <x:c r="H457" s="1"/>
    </x:row>
    <x:row r="458">
      <x:c r="H458" s="1"/>
    </x:row>
    <x:row r="459">
      <x:c r="H459" s="1"/>
    </x:row>
    <x:row r="460">
      <x:c r="H460" s="1"/>
    </x:row>
    <x:row r="461">
      <x:c r="H461" s="1"/>
    </x:row>
    <x:row r="462">
      <x:c r="H462" s="1"/>
    </x:row>
    <x:row r="463">
      <x:c r="H463" s="1"/>
    </x:row>
    <x:row r="464">
      <x:c r="H464" s="1"/>
    </x:row>
    <x:row r="465">
      <x:c r="H465" s="1"/>
    </x:row>
    <x:row r="466">
      <x:c r="H466" s="1"/>
    </x:row>
    <x:row r="467">
      <x:c r="H467" s="1"/>
    </x:row>
    <x:row r="468">
      <x:c r="H468" s="1"/>
    </x:row>
    <x:row r="469">
      <x:c r="H469" s="1"/>
    </x:row>
    <x:row r="470">
      <x:c r="H470" s="1"/>
    </x:row>
    <x:row r="471">
      <x:c r="H471" s="1"/>
    </x:row>
    <x:row r="472">
      <x:c r="H472" s="1"/>
    </x:row>
    <x:row r="473">
      <x:c r="H473" s="1"/>
    </x:row>
    <x:row r="474">
      <x:c r="H474" s="1"/>
    </x:row>
    <x:row r="475">
      <x:c r="H475" s="1"/>
    </x:row>
    <x:row r="476">
      <x:c r="H476" s="1"/>
    </x:row>
    <x:row r="477">
      <x:c r="H477" s="1"/>
    </x:row>
    <x:row r="478">
      <x:c r="H478" s="1"/>
    </x:row>
    <x:row r="479">
      <x:c r="H479" s="1"/>
    </x:row>
    <x:row r="480">
      <x:c r="H480" s="1"/>
    </x:row>
    <x:row r="481">
      <x:c r="H481" s="1"/>
    </x:row>
    <x:row r="482">
      <x:c r="H482" s="1"/>
    </x:row>
    <x:row r="483">
      <x:c r="H483" s="1"/>
    </x:row>
    <x:row r="484">
      <x:c r="H484" s="1"/>
    </x:row>
    <x:row r="485">
      <x:c r="H485" s="1"/>
    </x:row>
    <x:row r="486">
      <x:c r="H486" s="1"/>
    </x:row>
    <x:row r="487">
      <x:c r="H487" s="1"/>
    </x:row>
    <x:row r="488">
      <x:c r="H488" s="1"/>
    </x:row>
    <x:row r="489">
      <x:c r="H489" s="1"/>
    </x:row>
    <x:row r="490">
      <x:c r="H490" s="1"/>
    </x:row>
    <x:row r="491">
      <x:c r="H491" s="1"/>
    </x:row>
    <x:row r="492">
      <x:c r="H492" s="1"/>
    </x:row>
    <x:row r="493">
      <x:c r="H493" s="1"/>
    </x:row>
    <x:row r="494">
      <x:c r="H494" s="1"/>
    </x:row>
    <x:row r="495">
      <x:c r="H495" s="1"/>
    </x:row>
    <x:row r="496">
      <x:c r="H496" s="1"/>
    </x:row>
    <x:row r="497">
      <x:c r="H497" s="1"/>
    </x:row>
    <x:row r="498">
      <x:c r="H498" s="1"/>
    </x:row>
    <x:row r="499">
      <x:c r="H499" s="1"/>
    </x:row>
    <x:row r="500">
      <x:c r="H500" s="1"/>
    </x:row>
    <x:row r="501">
      <x:c r="H501" s="1"/>
    </x:row>
    <x:row r="502">
      <x:c r="H502" s="1"/>
    </x:row>
    <x:row r="503">
      <x:c r="H503" s="1"/>
    </x:row>
    <x:row r="504">
      <x:c r="H504" s="1"/>
    </x:row>
    <x:row r="505">
      <x:c r="H505" s="1"/>
    </x:row>
    <x:row r="506">
      <x:c r="H506" s="1"/>
    </x:row>
    <x:row r="507">
      <x:c r="H507" s="1"/>
    </x:row>
    <x:row r="508">
      <x:c r="H508" s="1"/>
    </x:row>
    <x:row r="509">
      <x:c r="H509" s="1"/>
    </x:row>
    <x:row r="510">
      <x:c r="H510" s="1"/>
    </x:row>
    <x:row r="511">
      <x:c r="H511" s="1"/>
    </x:row>
    <x:row r="512">
      <x:c r="H512" s="1"/>
    </x:row>
    <x:row r="513">
      <x:c r="H513" s="1"/>
    </x:row>
    <x:row r="514">
      <x:c r="H514" s="1"/>
    </x:row>
    <x:row r="515">
      <x:c r="H515" s="1"/>
    </x:row>
    <x:row r="516">
      <x:c r="H516" s="1"/>
    </x:row>
    <x:row r="517">
      <x:c r="H517" s="1"/>
    </x:row>
    <x:row r="518">
      <x:c r="H518" s="1"/>
    </x:row>
    <x:row r="519">
      <x:c r="H519" s="1"/>
    </x:row>
    <x:row r="520">
      <x:c r="H520" s="1"/>
    </x:row>
    <x:row r="521">
      <x:c r="H521" s="1"/>
    </x:row>
    <x:row r="522">
      <x:c r="H522" s="1"/>
    </x:row>
    <x:row r="523">
      <x:c r="H523" s="1"/>
    </x:row>
    <x:row r="524">
      <x:c r="H524" s="1"/>
    </x:row>
    <x:row r="525">
      <x:c r="H525" s="1"/>
    </x:row>
    <x:row r="526">
      <x:c r="H526" s="1"/>
    </x:row>
    <x:row r="527">
      <x:c r="H527" s="1"/>
    </x:row>
    <x:row r="528">
      <x:c r="H528" s="1"/>
    </x:row>
    <x:row r="529">
      <x:c r="H529" s="1"/>
    </x:row>
    <x:row r="530">
      <x:c r="H530" s="1"/>
    </x:row>
    <x:row r="531">
      <x:c r="H531" s="1"/>
    </x:row>
    <x:row r="532">
      <x:c r="H532" s="1"/>
    </x:row>
    <x:row r="533">
      <x:c r="H533" s="1"/>
    </x:row>
    <x:row r="534">
      <x:c r="H534" s="1"/>
    </x:row>
    <x:row r="535">
      <x:c r="H535" s="1"/>
    </x:row>
    <x:row r="536">
      <x:c r="H536" s="1"/>
    </x:row>
    <x:row r="537">
      <x:c r="H537" s="1"/>
    </x:row>
    <x:row r="538">
      <x:c r="H538" s="1"/>
    </x:row>
    <x:row r="539">
      <x:c r="H539" s="1"/>
    </x:row>
    <x:row r="540">
      <x:c r="H540" s="1"/>
    </x:row>
    <x:row r="541">
      <x:c r="H541" s="1"/>
    </x:row>
    <x:row r="542">
      <x:c r="H542" s="1"/>
    </x:row>
    <x:row r="543">
      <x:c r="H543" s="1"/>
    </x:row>
    <x:row r="544">
      <x:c r="H544" s="1"/>
    </x:row>
    <x:row r="545">
      <x:c r="H545" s="1"/>
    </x:row>
    <x:row r="546">
      <x:c r="H546" s="1"/>
    </x:row>
    <x:row r="547">
      <x:c r="H547" s="1"/>
    </x:row>
    <x:row r="548">
      <x:c r="H548" s="1"/>
    </x:row>
    <x:row r="549">
      <x:c r="H549" s="1"/>
    </x:row>
    <x:row r="550">
      <x:c r="H550" s="1"/>
    </x:row>
    <x:row r="551">
      <x:c r="H551" s="1"/>
    </x:row>
    <x:row r="552">
      <x:c r="H552" s="1"/>
    </x:row>
    <x:row r="553">
      <x:c r="H553" s="1"/>
    </x:row>
    <x:row r="554">
      <x:c r="H554" s="1"/>
    </x:row>
    <x:row r="555">
      <x:c r="H555" s="1"/>
    </x:row>
    <x:row r="556">
      <x:c r="H556" s="1"/>
    </x:row>
    <x:row r="557">
      <x:c r="H557" s="1"/>
    </x:row>
    <x:row r="558">
      <x:c r="H558" s="1"/>
    </x:row>
    <x:row r="559">
      <x:c r="H559" s="1"/>
    </x:row>
    <x:row r="560">
      <x:c r="H560" s="1"/>
    </x:row>
    <x:row r="561">
      <x:c r="H561" s="1"/>
    </x:row>
    <x:row r="562">
      <x:c r="H562" s="1"/>
    </x:row>
    <x:row r="563">
      <x:c r="H563" s="1"/>
    </x:row>
    <x:row r="564">
      <x:c r="H564" s="1"/>
    </x:row>
    <x:row r="565">
      <x:c r="H565" s="1"/>
    </x:row>
    <x:row r="566">
      <x:c r="H566" s="1"/>
    </x:row>
    <x:row r="567">
      <x:c r="H567" s="1"/>
    </x:row>
    <x:row r="568">
      <x:c r="H568" s="1"/>
    </x:row>
    <x:row r="569">
      <x:c r="H569" s="1"/>
    </x:row>
    <x:row r="570">
      <x:c r="H570" s="1"/>
    </x:row>
    <x:row r="571">
      <x:c r="H571" s="1"/>
    </x:row>
    <x:row r="572">
      <x:c r="H572" s="1"/>
    </x:row>
    <x:row r="573">
      <x:c r="H573" s="1"/>
    </x:row>
    <x:row r="574">
      <x:c r="H574" s="1"/>
    </x:row>
    <x:row r="575">
      <x:c r="H575" s="1"/>
    </x:row>
    <x:row r="576">
      <x:c r="H576" s="1"/>
    </x:row>
    <x:row r="577">
      <x:c r="H577" s="1"/>
    </x:row>
    <x:row r="578">
      <x:c r="H578" s="1"/>
    </x:row>
    <x:row r="579">
      <x:c r="H579" s="1"/>
    </x:row>
    <x:row r="580">
      <x:c r="H580" s="1"/>
    </x:row>
    <x:row r="581">
      <x:c r="H581" s="1"/>
    </x:row>
    <x:row r="582">
      <x:c r="H582" s="1"/>
    </x:row>
    <x:row r="583">
      <x:c r="H583" s="1"/>
    </x:row>
    <x:row r="584">
      <x:c r="H584" s="1"/>
    </x:row>
    <x:row r="585">
      <x:c r="H585" s="1"/>
    </x:row>
    <x:row r="586">
      <x:c r="H586" s="1"/>
    </x:row>
    <x:row r="587">
      <x:c r="H587" s="1"/>
    </x:row>
    <x:row r="588">
      <x:c r="H588" s="1"/>
    </x:row>
    <x:row r="589">
      <x:c r="H589" s="1"/>
    </x:row>
    <x:row r="590">
      <x:c r="H590" s="1"/>
    </x:row>
    <x:row r="591">
      <x:c r="H591" s="1"/>
    </x:row>
    <x:row r="592">
      <x:c r="H592" s="1"/>
    </x:row>
    <x:row r="593">
      <x:c r="H593" s="1"/>
    </x:row>
    <x:row r="594">
      <x:c r="H594" s="1"/>
    </x:row>
    <x:row r="595">
      <x:c r="H595" s="1"/>
    </x:row>
    <x:row r="596">
      <x:c r="H596" s="1"/>
    </x:row>
    <x:row r="597">
      <x:c r="H597" s="1"/>
    </x:row>
    <x:row r="598">
      <x:c r="H598" s="1"/>
    </x:row>
    <x:row r="599">
      <x:c r="H599" s="1"/>
    </x:row>
    <x:row r="600">
      <x:c r="H600" s="1"/>
    </x:row>
    <x:row r="601">
      <x:c r="H601" s="1"/>
    </x:row>
    <x:row r="602">
      <x:c r="H602" s="1"/>
    </x:row>
    <x:row r="603">
      <x:c r="H603" s="1"/>
    </x:row>
    <x:row r="604">
      <x:c r="H604" s="1"/>
    </x:row>
    <x:row r="605">
      <x:c r="H605" s="1"/>
    </x:row>
    <x:row r="606">
      <x:c r="H606" s="1"/>
    </x:row>
    <x:row r="607">
      <x:c r="H607" s="1"/>
    </x:row>
    <x:row r="608">
      <x:c r="H608" s="1"/>
    </x:row>
    <x:row r="609">
      <x:c r="H609" s="1"/>
    </x:row>
    <x:row r="610">
      <x:c r="H610" s="1"/>
    </x:row>
    <x:row r="611">
      <x:c r="H611" s="1"/>
    </x:row>
    <x:row r="612">
      <x:c r="H612" s="1"/>
    </x:row>
    <x:row r="613">
      <x:c r="H613" s="1"/>
    </x:row>
    <x:row r="614">
      <x:c r="H614" s="1"/>
    </x:row>
    <x:row r="615">
      <x:c r="H615" s="1"/>
    </x:row>
    <x:row r="616">
      <x:c r="H616" s="1"/>
    </x:row>
    <x:row r="617">
      <x:c r="H617" s="1"/>
    </x:row>
    <x:row r="618">
      <x:c r="H618" s="1"/>
    </x:row>
    <x:row r="619">
      <x:c r="H619" s="1"/>
    </x:row>
    <x:row r="620">
      <x:c r="H620" s="1"/>
    </x:row>
    <x:row r="621">
      <x:c r="H621" s="1"/>
    </x:row>
    <x:row r="622">
      <x:c r="H622" s="1"/>
    </x:row>
    <x:row r="623">
      <x:c r="H623" s="1"/>
    </x:row>
    <x:row r="624">
      <x:c r="H624" s="1"/>
    </x:row>
    <x:row r="625">
      <x:c r="H625" s="1"/>
    </x:row>
    <x:row r="626">
      <x:c r="H626" s="1"/>
    </x:row>
    <x:row r="627">
      <x:c r="H627" s="1"/>
    </x:row>
    <x:row r="628">
      <x:c r="H628" s="1"/>
    </x:row>
    <x:row r="629">
      <x:c r="H629" s="1"/>
    </x:row>
    <x:row r="630">
      <x:c r="H630" s="1"/>
    </x:row>
    <x:row r="631">
      <x:c r="H631" s="1"/>
    </x:row>
    <x:row r="632">
      <x:c r="H632" s="1"/>
    </x:row>
    <x:row r="633">
      <x:c r="H633" s="1"/>
    </x:row>
    <x:row r="634">
      <x:c r="H634" s="1"/>
    </x:row>
    <x:row r="635">
      <x:c r="H635" s="1"/>
    </x:row>
    <x:row r="636">
      <x:c r="H636" s="1"/>
    </x:row>
    <x:row r="637">
      <x:c r="H637" s="1"/>
    </x:row>
    <x:row r="638">
      <x:c r="H638" s="1"/>
    </x:row>
    <x:row r="639">
      <x:c r="H639" s="1"/>
    </x:row>
    <x:row r="640">
      <x:c r="H640" s="1"/>
    </x:row>
    <x:row r="641">
      <x:c r="H641" s="1"/>
    </x:row>
    <x:row r="642">
      <x:c r="H642" s="1"/>
    </x:row>
    <x:row r="643">
      <x:c r="H643" s="1"/>
    </x:row>
    <x:row r="644">
      <x:c r="H644" s="1"/>
    </x:row>
    <x:row r="645">
      <x:c r="H645" s="1"/>
    </x:row>
    <x:row r="646">
      <x:c r="H646" s="1"/>
    </x:row>
    <x:row r="647">
      <x:c r="H647" s="1"/>
    </x:row>
    <x:row r="648">
      <x:c r="H648" s="1"/>
    </x:row>
    <x:row r="649">
      <x:c r="H649" s="1"/>
    </x:row>
    <x:row r="650">
      <x:c r="H650" s="1"/>
    </x:row>
    <x:row r="651">
      <x:c r="H651" s="1"/>
    </x:row>
    <x:row r="652">
      <x:c r="H652" s="1"/>
    </x:row>
    <x:row r="653">
      <x:c r="H653" s="1"/>
    </x:row>
    <x:row r="654">
      <x:c r="H654" s="1"/>
    </x:row>
    <x:row r="655">
      <x:c r="H655" s="1"/>
    </x:row>
    <x:row r="656">
      <x:c r="H656" s="1"/>
    </x:row>
    <x:row r="657">
      <x:c r="H657" s="1"/>
    </x:row>
    <x:row r="658">
      <x:c r="H658" s="1"/>
    </x:row>
    <x:row r="659">
      <x:c r="H659" s="1"/>
    </x:row>
    <x:row r="660">
      <x:c r="H660" s="1"/>
    </x:row>
    <x:row r="661">
      <x:c r="H661" s="1"/>
    </x:row>
    <x:row r="662">
      <x:c r="H662" s="1"/>
    </x:row>
    <x:row r="663">
      <x:c r="H663" s="1"/>
    </x:row>
    <x:row r="664">
      <x:c r="H664" s="1"/>
    </x:row>
    <x:row r="665">
      <x:c r="H665" s="1"/>
    </x:row>
    <x:row r="666">
      <x:c r="H666" s="1"/>
    </x:row>
    <x:row r="667">
      <x:c r="H667" s="1"/>
    </x:row>
    <x:row r="668">
      <x:c r="H668" s="1"/>
    </x:row>
    <x:row r="669">
      <x:c r="H669" s="1"/>
    </x:row>
    <x:row r="670">
      <x:c r="H670" s="1"/>
    </x:row>
    <x:row r="671">
      <x:c r="H671" s="1"/>
    </x:row>
    <x:row r="672">
      <x:c r="H672" s="1"/>
    </x:row>
    <x:row r="673">
      <x:c r="H673" s="1"/>
    </x:row>
    <x:row r="674">
      <x:c r="H674" s="1"/>
    </x:row>
    <x:row r="675">
      <x:c r="H675" s="1"/>
    </x:row>
    <x:row r="676">
      <x:c r="H676" s="1"/>
    </x:row>
    <x:row r="677">
      <x:c r="H677" s="1"/>
    </x:row>
    <x:row r="678">
      <x:c r="H678" s="1"/>
    </x:row>
    <x:row r="679">
      <x:c r="H679" s="1"/>
    </x:row>
    <x:row r="680">
      <x:c r="H680" s="1"/>
    </x:row>
    <x:row r="681">
      <x:c r="H681" s="1"/>
    </x:row>
    <x:row r="682">
      <x:c r="H682" s="1"/>
    </x:row>
    <x:row r="683">
      <x:c r="H683" s="1"/>
    </x:row>
    <x:row r="684">
      <x:c r="H684" s="1"/>
    </x:row>
    <x:row r="685">
      <x:c r="H685" s="1"/>
    </x:row>
    <x:row r="686">
      <x:c r="H686" s="1"/>
    </x:row>
    <x:row r="687">
      <x:c r="H687" s="1"/>
    </x:row>
    <x:row r="688">
      <x:c r="H688" s="1"/>
    </x:row>
    <x:row r="689">
      <x:c r="H689" s="1"/>
    </x:row>
    <x:row r="690">
      <x:c r="H690" s="1"/>
    </x:row>
    <x:row r="691">
      <x:c r="H691" s="1"/>
    </x:row>
    <x:row r="692">
      <x:c r="H692" s="1"/>
    </x:row>
    <x:row r="693">
      <x:c r="H693" s="1"/>
    </x:row>
    <x:row r="694">
      <x:c r="H694" s="1"/>
    </x:row>
    <x:row r="695">
      <x:c r="H695" s="1"/>
    </x:row>
    <x:row r="696">
      <x:c r="H696" s="1"/>
    </x:row>
    <x:row r="697">
      <x:c r="H697" s="1"/>
    </x:row>
    <x:row r="698">
      <x:c r="H698" s="1"/>
    </x:row>
    <x:row r="699">
      <x:c r="H699" s="1"/>
    </x:row>
    <x:row r="700">
      <x:c r="H700" s="1"/>
    </x:row>
    <x:row r="701">
      <x:c r="H701" s="1"/>
    </x:row>
    <x:row r="702">
      <x:c r="H702" s="1"/>
    </x:row>
    <x:row r="703">
      <x:c r="H703" s="1"/>
    </x:row>
    <x:row r="704">
      <x:c r="H704" s="1"/>
    </x:row>
    <x:row r="705">
      <x:c r="H705" s="1"/>
    </x:row>
    <x:row r="706">
      <x:c r="H706" s="1"/>
    </x:row>
    <x:row r="707">
      <x:c r="H707" s="1"/>
    </x:row>
    <x:row r="708">
      <x:c r="H708" s="1"/>
    </x:row>
    <x:row r="709">
      <x:c r="H709" s="1"/>
    </x:row>
    <x:row r="710">
      <x:c r="H710" s="1"/>
    </x:row>
    <x:row r="711">
      <x:c r="H711" s="1"/>
    </x:row>
    <x:row r="712">
      <x:c r="H712" s="1"/>
    </x:row>
    <x:row r="713">
      <x:c r="H713" s="1"/>
    </x:row>
    <x:row r="714">
      <x:c r="H714" s="1"/>
    </x:row>
    <x:row r="715">
      <x:c r="H715" s="1"/>
    </x:row>
    <x:row r="716">
      <x:c r="H716" s="1"/>
    </x:row>
    <x:row r="717">
      <x:c r="H717" s="1"/>
    </x:row>
    <x:row r="718">
      <x:c r="H718" s="1"/>
    </x:row>
    <x:row r="719">
      <x:c r="H719" s="1"/>
    </x:row>
    <x:row r="720">
      <x:c r="H720" s="1"/>
    </x:row>
    <x:row r="721">
      <x:c r="H721" s="1"/>
    </x:row>
    <x:row r="722">
      <x:c r="H722" s="1"/>
    </x:row>
    <x:row r="723">
      <x:c r="H723" s="1"/>
    </x:row>
    <x:row r="724">
      <x:c r="H724" s="1"/>
    </x:row>
    <x:row r="725">
      <x:c r="H725" s="1"/>
    </x:row>
    <x:row r="726">
      <x:c r="H726" s="1"/>
    </x:row>
    <x:row r="727">
      <x:c r="H727" s="1"/>
    </x:row>
    <x:row r="728">
      <x:c r="H728" s="1"/>
    </x:row>
    <x:row r="729">
      <x:c r="H729" s="1"/>
    </x:row>
    <x:row r="730">
      <x:c r="H730" s="1"/>
    </x:row>
    <x:row r="731">
      <x:c r="H731" s="1"/>
    </x:row>
    <x:row r="732">
      <x:c r="H732" s="1"/>
    </x:row>
    <x:row r="733">
      <x:c r="H733" s="1"/>
    </x:row>
    <x:row r="734">
      <x:c r="H734" s="1"/>
    </x:row>
    <x:row r="735">
      <x:c r="H735" s="1"/>
    </x:row>
    <x:row r="736">
      <x:c r="H736" s="1"/>
    </x:row>
    <x:row r="737">
      <x:c r="H737" s="1"/>
    </x:row>
    <x:row r="738">
      <x:c r="H738" s="1"/>
    </x:row>
    <x:row r="739">
      <x:c r="H739" s="1"/>
    </x:row>
    <x:row r="740">
      <x:c r="H740" s="1"/>
    </x:row>
    <x:row r="741">
      <x:c r="H741" s="1"/>
    </x:row>
    <x:row r="742">
      <x:c r="H742" s="1"/>
    </x:row>
    <x:row r="743">
      <x:c r="H743" s="1"/>
    </x:row>
    <x:row r="744">
      <x:c r="H744" s="1"/>
    </x:row>
    <x:row r="745">
      <x:c r="H745" s="1"/>
    </x:row>
    <x:row r="746">
      <x:c r="H746" s="1"/>
    </x:row>
    <x:row r="747">
      <x:c r="H747" s="1"/>
    </x:row>
    <x:row r="748">
      <x:c r="H748" s="1"/>
    </x:row>
    <x:row r="749">
      <x:c r="H749" s="1"/>
    </x:row>
    <x:row r="750">
      <x:c r="H750" s="1"/>
    </x:row>
    <x:row r="751">
      <x:c r="H751" s="1"/>
    </x:row>
    <x:row r="752">
      <x:c r="H752" s="1"/>
    </x:row>
    <x:row r="753">
      <x:c r="H753" s="1"/>
    </x:row>
    <x:row r="754">
      <x:c r="H754" s="1"/>
    </x:row>
    <x:row r="755">
      <x:c r="H755" s="1"/>
    </x:row>
    <x:row r="756">
      <x:c r="H756" s="1"/>
    </x:row>
    <x:row r="757">
      <x:c r="H757" s="1"/>
    </x:row>
    <x:row r="758">
      <x:c r="H758" s="1"/>
    </x:row>
    <x:row r="759">
      <x:c r="H759" s="1"/>
    </x:row>
    <x:row r="760">
      <x:c r="H760" s="1"/>
    </x:row>
    <x:row r="761">
      <x:c r="H761" s="1"/>
    </x:row>
    <x:row r="762">
      <x:c r="H762" s="1"/>
    </x:row>
    <x:row r="763">
      <x:c r="H763" s="1"/>
    </x:row>
    <x:row r="764">
      <x:c r="H764" s="1"/>
    </x:row>
    <x:row r="765">
      <x:c r="H765" s="1"/>
    </x:row>
    <x:row r="766">
      <x:c r="H766" s="1"/>
    </x:row>
    <x:row r="767">
      <x:c r="H767" s="1"/>
    </x:row>
    <x:row r="768">
      <x:c r="H768" s="1"/>
    </x:row>
    <x:row r="769">
      <x:c r="H769" s="1"/>
    </x:row>
    <x:row r="770">
      <x:c r="H770" s="1"/>
    </x:row>
    <x:row r="771">
      <x:c r="H771" s="1"/>
    </x:row>
    <x:row r="772">
      <x:c r="H772" s="1"/>
    </x:row>
    <x:row r="773">
      <x:c r="H773" s="1"/>
    </x:row>
    <x:row r="774">
      <x:c r="H774" s="1"/>
    </x:row>
    <x:row r="775">
      <x:c r="H775" s="1"/>
    </x:row>
    <x:row r="776">
      <x:c r="H776" s="1"/>
    </x:row>
    <x:row r="777">
      <x:c r="H777" s="1"/>
    </x:row>
    <x:row r="778">
      <x:c r="H778" s="1"/>
    </x:row>
    <x:row r="779">
      <x:c r="H779" s="1"/>
    </x:row>
    <x:row r="780">
      <x:c r="H780" s="1"/>
    </x:row>
    <x:row r="781">
      <x:c r="H781" s="1"/>
    </x:row>
    <x:row r="782">
      <x:c r="H782" s="1"/>
    </x:row>
    <x:row r="783">
      <x:c r="H783" s="1"/>
    </x:row>
    <x:row r="784">
      <x:c r="H784" s="1"/>
    </x:row>
    <x:row r="785">
      <x:c r="H785" s="1"/>
    </x:row>
    <x:row r="786">
      <x:c r="H786" s="1"/>
    </x:row>
    <x:row r="787">
      <x:c r="H787" s="1"/>
    </x:row>
    <x:row r="788">
      <x:c r="H788" s="1"/>
    </x:row>
    <x:row r="789">
      <x:c r="H789" s="1"/>
    </x:row>
    <x:row r="790">
      <x:c r="H790" s="1"/>
    </x:row>
    <x:row r="791">
      <x:c r="H791" s="1"/>
    </x:row>
    <x:row r="792">
      <x:c r="H792" s="1"/>
    </x:row>
    <x:row r="793">
      <x:c r="H793" s="1"/>
    </x:row>
    <x:row r="794">
      <x:c r="H794" s="1"/>
    </x:row>
    <x:row r="795">
      <x:c r="H795" s="1"/>
    </x:row>
    <x:row r="796">
      <x:c r="H796" s="1"/>
    </x:row>
    <x:row r="797">
      <x:c r="H797" s="1"/>
    </x:row>
    <x:row r="798">
      <x:c r="H798" s="1"/>
    </x:row>
    <x:row r="799">
      <x:c r="H799" s="1"/>
    </x:row>
    <x:row r="800">
      <x:c r="H800" s="1"/>
    </x:row>
    <x:row r="801">
      <x:c r="H801" s="1"/>
    </x:row>
    <x:row r="802">
      <x:c r="H802" s="1"/>
    </x:row>
    <x:row r="803">
      <x:c r="H803" s="1"/>
    </x:row>
    <x:row r="804">
      <x:c r="H804" s="1"/>
    </x:row>
    <x:row r="805">
      <x:c r="H805" s="1"/>
    </x:row>
    <x:row r="806">
      <x:c r="H806" s="1"/>
    </x:row>
    <x:row r="807">
      <x:c r="H807" s="1"/>
    </x:row>
    <x:row r="808">
      <x:c r="H808" s="1"/>
    </x:row>
    <x:row r="809">
      <x:c r="H809" s="1"/>
    </x:row>
    <x:row r="810">
      <x:c r="H810" s="1"/>
    </x:row>
    <x:row r="811">
      <x:c r="H811" s="1"/>
    </x:row>
    <x:row r="812">
      <x:c r="H812" s="1"/>
    </x:row>
    <x:row r="813">
      <x:c r="H813" s="1"/>
    </x:row>
    <x:row r="814">
      <x:c r="H814" s="1"/>
    </x:row>
    <x:row r="815">
      <x:c r="H815" s="1"/>
    </x:row>
    <x:row r="816">
      <x:c r="H816" s="1"/>
    </x:row>
    <x:row r="817">
      <x:c r="H817" s="1"/>
    </x:row>
    <x:row r="818">
      <x:c r="H818" s="1"/>
    </x:row>
    <x:row r="819">
      <x:c r="H819" s="1"/>
    </x:row>
    <x:row r="820">
      <x:c r="H820" s="1"/>
    </x:row>
    <x:row r="821">
      <x:c r="H821" s="1"/>
    </x:row>
    <x:row r="822">
      <x:c r="H822" s="1"/>
    </x:row>
    <x:row r="823">
      <x:c r="H823" s="1"/>
    </x:row>
    <x:row r="824">
      <x:c r="H824" s="1"/>
    </x:row>
    <x:row r="825">
      <x:c r="H825" s="1"/>
    </x:row>
    <x:row r="826">
      <x:c r="H826" s="1"/>
    </x:row>
    <x:row r="827">
      <x:c r="H827" s="1"/>
    </x:row>
    <x:row r="828">
      <x:c r="H828" s="1"/>
    </x:row>
    <x:row r="829">
      <x:c r="H829" s="1"/>
    </x:row>
    <x:row r="830">
      <x:c r="H830" s="1"/>
    </x:row>
    <x:row r="831">
      <x:c r="H831" s="1"/>
    </x:row>
    <x:row r="832">
      <x:c r="H832" s="1"/>
    </x:row>
    <x:row r="833">
      <x:c r="H833" s="1"/>
    </x:row>
    <x:row r="834">
      <x:c r="H834" s="1"/>
    </x:row>
    <x:row r="835">
      <x:c r="H835" s="1"/>
    </x:row>
    <x:row r="836">
      <x:c r="H836" s="1"/>
    </x:row>
    <x:row r="837">
      <x:c r="H837" s="1"/>
    </x:row>
    <x:row r="838">
      <x:c r="H838" s="1"/>
    </x:row>
    <x:row r="839">
      <x:c r="H839" s="1"/>
    </x:row>
    <x:row r="840">
      <x:c r="H840" s="1"/>
    </x:row>
    <x:row r="841">
      <x:c r="H841" s="1"/>
    </x:row>
    <x:row r="842">
      <x:c r="H842" s="1"/>
    </x:row>
    <x:row r="843">
      <x:c r="H843" s="1"/>
    </x:row>
    <x:row r="844">
      <x:c r="H844" s="1"/>
    </x:row>
    <x:row r="845">
      <x:c r="H845" s="1"/>
    </x:row>
    <x:row r="846">
      <x:c r="H846" s="1"/>
    </x:row>
    <x:row r="847">
      <x:c r="H847" s="1"/>
    </x:row>
    <x:row r="848">
      <x:c r="H848" s="1"/>
    </x:row>
    <x:row r="849">
      <x:c r="H849" s="1"/>
    </x:row>
    <x:row r="850">
      <x:c r="H850" s="1"/>
    </x:row>
    <x:row r="851">
      <x:c r="H851" s="1"/>
    </x:row>
    <x:row r="852">
      <x:c r="H852" s="1"/>
    </x:row>
    <x:row r="853">
      <x:c r="H853" s="1"/>
    </x:row>
    <x:row r="854">
      <x:c r="H854" s="1"/>
    </x:row>
    <x:row r="855">
      <x:c r="H855" s="1"/>
    </x:row>
    <x:row r="856">
      <x:c r="H856" s="1"/>
    </x:row>
    <x:row r="857">
      <x:c r="H857" s="1"/>
    </x:row>
    <x:row r="858">
      <x:c r="H858" s="1"/>
    </x:row>
    <x:row r="859">
      <x:c r="H859" s="1"/>
    </x:row>
    <x:row r="860">
      <x:c r="H860" s="1"/>
    </x:row>
    <x:row r="861">
      <x:c r="H861" s="1"/>
    </x:row>
    <x:row r="862">
      <x:c r="H862" s="1"/>
    </x:row>
    <x:row r="863">
      <x:c r="H863" s="1"/>
    </x:row>
    <x:row r="864">
      <x:c r="H864" s="1"/>
    </x:row>
    <x:row r="865">
      <x:c r="H865" s="1"/>
    </x:row>
    <x:row r="866">
      <x:c r="H866" s="1"/>
    </x:row>
    <x:row r="867">
      <x:c r="H867" s="1"/>
    </x:row>
    <x:row r="868">
      <x:c r="H868" s="1"/>
    </x:row>
    <x:row r="869">
      <x:c r="H869" s="1"/>
    </x:row>
    <x:row r="870">
      <x:c r="H870" s="1"/>
    </x:row>
    <x:row r="871">
      <x:c r="H871" s="1"/>
    </x:row>
    <x:row r="872">
      <x:c r="H872" s="1"/>
    </x:row>
    <x:row r="873">
      <x:c r="H873" s="1"/>
    </x:row>
    <x:row r="874">
      <x:c r="H874" s="1"/>
    </x:row>
    <x:row r="875">
      <x:c r="H875" s="1"/>
    </x:row>
    <x:row r="876">
      <x:c r="H876" s="1"/>
    </x:row>
    <x:row r="877">
      <x:c r="H877" s="1"/>
    </x:row>
    <x:row r="878">
      <x:c r="H878" s="1"/>
    </x:row>
    <x:row r="879">
      <x:c r="H879" s="1"/>
    </x:row>
    <x:row r="880">
      <x:c r="H880" s="1"/>
    </x:row>
    <x:row r="881">
      <x:c r="H881" s="1"/>
    </x:row>
    <x:row r="882">
      <x:c r="H882" s="1"/>
    </x:row>
    <x:row r="883">
      <x:c r="H883" s="1"/>
    </x:row>
    <x:row r="884">
      <x:c r="H884" s="1"/>
    </x:row>
    <x:row r="885">
      <x:c r="H885" s="1"/>
    </x:row>
    <x:row r="886">
      <x:c r="H886" s="1"/>
    </x:row>
    <x:row r="887">
      <x:c r="H887" s="1"/>
    </x:row>
    <x:row r="888">
      <x:c r="H888" s="1"/>
    </x:row>
    <x:row r="889">
      <x:c r="H889" s="1"/>
    </x:row>
    <x:row r="890">
      <x:c r="H890" s="1"/>
    </x:row>
    <x:row r="891">
      <x:c r="H891" s="1"/>
    </x:row>
    <x:row r="892">
      <x:c r="H892" s="1"/>
    </x:row>
    <x:row r="893">
      <x:c r="H893" s="1"/>
    </x:row>
    <x:row r="894">
      <x:c r="H894" s="1"/>
    </x:row>
    <x:row r="895">
      <x:c r="H895" s="1"/>
    </x:row>
    <x:row r="896">
      <x:c r="H896" s="1"/>
    </x:row>
    <x:row r="897">
      <x:c r="H897" s="1"/>
    </x:row>
    <x:row r="898">
      <x:c r="H898" s="1"/>
    </x:row>
    <x:row r="899">
      <x:c r="H899" s="1"/>
    </x:row>
    <x:row r="900">
      <x:c r="H900" s="1"/>
    </x:row>
    <x:row r="901">
      <x:c r="H901" s="1"/>
    </x:row>
    <x:row r="902">
      <x:c r="H902" s="1"/>
    </x:row>
    <x:row r="903">
      <x:c r="H903" s="1"/>
    </x:row>
    <x:row r="904">
      <x:c r="H904" s="1"/>
    </x:row>
    <x:row r="905">
      <x:c r="H905" s="1"/>
    </x:row>
    <x:row r="906">
      <x:c r="H906" s="1"/>
    </x:row>
    <x:row r="907">
      <x:c r="H907" s="1"/>
    </x:row>
    <x:row r="908">
      <x:c r="H908" s="1"/>
    </x:row>
    <x:row r="909">
      <x:c r="H909" s="1"/>
    </x:row>
    <x:row r="910">
      <x:c r="H910" s="1"/>
    </x:row>
    <x:row r="911">
      <x:c r="H911" s="1"/>
    </x:row>
    <x:row r="912">
      <x:c r="H912" s="1"/>
    </x:row>
    <x:row r="913">
      <x:c r="H913" s="1"/>
    </x:row>
    <x:row r="914">
      <x:c r="H914" s="1"/>
    </x:row>
    <x:row r="915">
      <x:c r="H915" s="1"/>
    </x:row>
    <x:row r="916">
      <x:c r="H916" s="1"/>
    </x:row>
    <x:row r="917">
      <x:c r="H917" s="1"/>
    </x:row>
    <x:row r="918">
      <x:c r="H918" s="1"/>
    </x:row>
    <x:row r="919">
      <x:c r="H919" s="1"/>
    </x:row>
    <x:row r="920">
      <x:c r="H920" s="1"/>
    </x:row>
    <x:row r="921">
      <x:c r="H921" s="1"/>
    </x:row>
    <x:row r="922">
      <x:c r="H922" s="1"/>
    </x:row>
    <x:row r="923">
      <x:c r="H923" s="1"/>
    </x:row>
    <x:row r="924">
      <x:c r="H924" s="1"/>
    </x:row>
    <x:row r="925">
      <x:c r="H925" s="1"/>
    </x:row>
    <x:row r="926">
      <x:c r="H926" s="1"/>
    </x:row>
    <x:row r="927">
      <x:c r="H927" s="1"/>
    </x:row>
    <x:row r="928">
      <x:c r="H928" s="1"/>
    </x:row>
    <x:row r="929">
      <x:c r="H929" s="1"/>
    </x:row>
    <x:row r="930">
      <x:c r="H930" s="1"/>
    </x:row>
    <x:row r="931">
      <x:c r="H931" s="1"/>
    </x:row>
    <x:row r="932">
      <x:c r="H932" s="1"/>
    </x:row>
    <x:row r="933">
      <x:c r="H933" s="1"/>
    </x:row>
    <x:row r="934">
      <x:c r="H934" s="1"/>
    </x:row>
    <x:row r="935">
      <x:c r="H935" s="1"/>
    </x:row>
    <x:row r="936">
      <x:c r="H936" s="1"/>
    </x:row>
    <x:row r="937">
      <x:c r="H937" s="1"/>
    </x:row>
    <x:row r="938">
      <x:c r="H938" s="1"/>
    </x:row>
    <x:row r="939">
      <x:c r="H939" s="1"/>
    </x:row>
    <x:row r="940">
      <x:c r="H940" s="1"/>
    </x:row>
    <x:row r="941">
      <x:c r="H941" s="1"/>
    </x:row>
    <x:row r="942">
      <x:c r="H942" s="1"/>
    </x:row>
    <x:row r="943">
      <x:c r="H943" s="1"/>
    </x:row>
    <x:row r="944">
      <x:c r="H944" s="1"/>
    </x:row>
    <x:row r="945">
      <x:c r="H945" s="1"/>
    </x:row>
    <x:row r="946">
      <x:c r="H946" s="1"/>
    </x:row>
    <x:row r="947">
      <x:c r="H947" s="1"/>
    </x:row>
    <x:row r="948">
      <x:c r="H948" s="1"/>
    </x:row>
    <x:row r="949">
      <x:c r="H949" s="1"/>
    </x:row>
    <x:row r="950">
      <x:c r="H950" s="1"/>
    </x:row>
    <x:row r="951">
      <x:c r="H951" s="1"/>
    </x:row>
    <x:row r="952">
      <x:c r="H952" s="1"/>
    </x:row>
    <x:row r="953">
      <x:c r="H953" s="1"/>
    </x:row>
    <x:row r="954">
      <x:c r="H954" s="1"/>
    </x:row>
    <x:row r="955">
      <x:c r="H955" s="1"/>
    </x:row>
    <x:row r="956">
      <x:c r="H956" s="1"/>
    </x:row>
    <x:row r="957">
      <x:c r="H957" s="1"/>
    </x:row>
    <x:row r="958">
      <x:c r="H958" s="1"/>
    </x:row>
    <x:row r="959">
      <x:c r="H959" s="1"/>
    </x:row>
    <x:row r="960">
      <x:c r="H960" s="1"/>
    </x:row>
    <x:row r="961">
      <x:c r="H961" s="1"/>
    </x:row>
    <x:row r="962">
      <x:c r="H962" s="1"/>
    </x:row>
    <x:row r="963">
      <x:c r="H963" s="1"/>
    </x:row>
    <x:row r="964">
      <x:c r="H964" s="1"/>
    </x:row>
    <x:row r="965">
      <x:c r="H965" s="1"/>
    </x:row>
    <x:row r="966">
      <x:c r="H966" s="1"/>
    </x:row>
    <x:row r="967">
      <x:c r="H967" s="1"/>
    </x:row>
    <x:row r="968">
      <x:c r="H968" s="1"/>
    </x:row>
    <x:row r="969">
      <x:c r="H969" s="1"/>
    </x:row>
    <x:row r="970">
      <x:c r="H970" s="1"/>
    </x:row>
    <x:row r="971">
      <x:c r="H971" s="1"/>
    </x:row>
    <x:row r="972">
      <x:c r="H972" s="1"/>
    </x:row>
    <x:row r="973">
      <x:c r="H973" s="1"/>
    </x:row>
    <x:row r="974">
      <x:c r="H974" s="1"/>
    </x:row>
    <x:row r="975">
      <x:c r="H975" s="1"/>
    </x:row>
    <x:row r="976">
      <x:c r="H976" s="1"/>
    </x:row>
    <x:row r="977">
      <x:c r="H977" s="1"/>
    </x:row>
    <x:row r="978">
      <x:c r="H978" s="1"/>
    </x:row>
    <x:row r="979">
      <x:c r="H979" s="1"/>
    </x:row>
    <x:row r="980">
      <x:c r="H980" s="1"/>
    </x:row>
    <x:row r="981">
      <x:c r="H981" s="1"/>
    </x:row>
    <x:row r="982">
      <x:c r="H982" s="1"/>
    </x:row>
    <x:row r="983">
      <x:c r="H983" s="1"/>
    </x:row>
    <x:row r="984">
      <x:c r="H984" s="1"/>
    </x:row>
    <x:row r="985">
      <x:c r="H985" s="1"/>
    </x:row>
    <x:row r="986">
      <x:c r="H986" s="1"/>
    </x:row>
    <x:row r="987">
      <x:c r="H987" s="1"/>
    </x:row>
    <x:row r="988">
      <x:c r="H988" s="1"/>
    </x:row>
    <x:row r="989">
      <x:c r="H989" s="1"/>
    </x:row>
    <x:row r="990">
      <x:c r="H990" s="1"/>
    </x:row>
    <x:row r="991">
      <x:c r="H991" s="1"/>
    </x:row>
    <x:row r="992">
      <x:c r="H992" s="1"/>
    </x:row>
    <x:row r="993">
      <x:c r="H993" s="1"/>
    </x:row>
    <x:row r="994">
      <x:c r="H994" s="1"/>
    </x:row>
    <x:row r="995">
      <x:c r="H995" s="1"/>
    </x:row>
    <x:row r="996">
      <x:c r="H996" s="1"/>
    </x:row>
    <x:row r="997">
      <x:c r="H997" s="1"/>
    </x:row>
    <x:row r="998">
      <x:c r="H998" s="1"/>
    </x:row>
    <x:row r="999">
      <x:c r="H999" s="1"/>
    </x:row>
    <x:row r="1000">
      <x:c r="H1000" s="1"/>
    </x:row>
    <x:row r="1001">
      <x:c r="H1001" s="1"/>
    </x:row>
    <x:row r="1002">
      <x:c r="H1002" s="1"/>
    </x:row>
    <x:row r="1003">
      <x:c r="H1003" s="1"/>
    </x:row>
    <x:row r="1004">
      <x:c r="H1004" s="1"/>
    </x:row>
    <x:row r="1005">
      <x:c r="H1005" s="1"/>
    </x:row>
    <x:row r="1006">
      <x:c r="H1006" s="1"/>
    </x:row>
    <x:row r="1007">
      <x:c r="H1007" s="1"/>
    </x:row>
    <x:row r="1008">
      <x:c r="H1008" s="1"/>
    </x:row>
    <x:row r="1009">
      <x:c r="H1009" s="1"/>
    </x:row>
    <x:row r="1010">
      <x:c r="H1010" s="1"/>
    </x:row>
    <x:row r="1011">
      <x:c r="H1011" s="1"/>
    </x:row>
    <x:row r="1012">
      <x:c r="H1012" s="1"/>
    </x:row>
    <x:row r="1013">
      <x:c r="H1013" s="1"/>
    </x:row>
    <x:row r="1014">
      <x:c r="H1014" s="1"/>
    </x:row>
    <x:row r="1015">
      <x:c r="H1015" s="1"/>
    </x:row>
    <x:row r="1016">
      <x:c r="H1016" s="1"/>
    </x:row>
    <x:row r="1017">
      <x:c r="H1017" s="1"/>
    </x:row>
    <x:row r="1018">
      <x:c r="H1018" s="1"/>
    </x:row>
    <x:row r="1019">
      <x:c r="H1019" s="1"/>
    </x:row>
    <x:row r="1020">
      <x:c r="H1020" s="1"/>
    </x:row>
    <x:row r="1021">
      <x:c r="H1021" s="1"/>
    </x:row>
    <x:row r="1022">
      <x:c r="H1022" s="1"/>
    </x:row>
    <x:row r="1023">
      <x:c r="H1023" s="1"/>
    </x:row>
    <x:row r="1024">
      <x:c r="H1024" s="1"/>
    </x:row>
    <x:row r="1025">
      <x:c r="H1025" s="1"/>
    </x:row>
    <x:row r="1026">
      <x:c r="H1026" s="1"/>
    </x:row>
    <x:row r="1027">
      <x:c r="H1027" s="1"/>
    </x:row>
    <x:row r="1028">
      <x:c r="H1028" s="1"/>
    </x:row>
    <x:row r="1029">
      <x:c r="H1029" s="1"/>
    </x:row>
    <x:row r="1030">
      <x:c r="H1030" s="1"/>
    </x:row>
    <x:row r="1031">
      <x:c r="H1031" s="1"/>
    </x:row>
    <x:row r="1032">
      <x:c r="H1032" s="1"/>
    </x:row>
    <x:row r="1033">
      <x:c r="H1033" s="1"/>
    </x:row>
    <x:row r="1034">
      <x:c r="H1034" s="1"/>
    </x:row>
    <x:row r="1035">
      <x:c r="H1035" s="1"/>
    </x:row>
    <x:row r="1036">
      <x:c r="H1036" s="1"/>
    </x:row>
    <x:row r="1037">
      <x:c r="H1037" s="1"/>
    </x:row>
    <x:row r="1038">
      <x:c r="H1038" s="1"/>
    </x:row>
    <x:row r="1039">
      <x:c r="H1039" s="1"/>
    </x:row>
    <x:row r="1040">
      <x:c r="H1040" s="1"/>
    </x:row>
    <x:row r="1041">
      <x:c r="H1041" s="1"/>
    </x:row>
    <x:row r="1042">
      <x:c r="H1042" s="1"/>
    </x:row>
    <x:row r="1043">
      <x:c r="H1043" s="1"/>
    </x:row>
    <x:row r="1044">
      <x:c r="H1044" s="1"/>
    </x:row>
    <x:row r="1045">
      <x:c r="H1045" s="1"/>
    </x:row>
    <x:row r="1046">
      <x:c r="H1046" s="1"/>
    </x:row>
    <x:row r="1047">
      <x:c r="H1047" s="1"/>
    </x:row>
  </x:sheetData>
  <x:mergeCells>
    <x:mergeCell ref="A5:F5"/>
  </x:mergeCells>
  <x:conditionalFormatting sqref="A7:F11">
    <x:cfRule type="expression" dxfId="124" priority="1">
      <x:formula>$B7="Red"</x:formula>
    </x:cfRule>
    <x:cfRule type="expression" dxfId="123" priority="2">
      <x:formula>$B7="Navy"</x:formula>
    </x:cfRule>
  </x:conditionalFormatting>
  <x:conditionalFormatting sqref="A16:F23">
    <x:cfRule type="expression" dxfId="122" priority="183">
      <x:formula>$B16="Navy"</x:formula>
    </x:cfRule>
    <x:cfRule type="expression" dxfId="121" priority="182">
      <x:formula>$B16="Red"</x:formula>
    </x:cfRule>
  </x:conditionalFormatting>
  <x:conditionalFormatting sqref="A29:J202">
    <x:cfRule type="expression" dxfId="120" priority="181">
      <x:formula>$F29="Navy"</x:formula>
    </x:cfRule>
    <x:cfRule type="expression" dxfId="119" priority="180">
      <x:formula>$F29="Red"</x:formula>
    </x:cfRule>
  </x:conditionalFormatting>
  <x:conditionalFormatting sqref="A174:J175">
    <x:cfRule type="expression" dxfId="118" priority="116">
      <x:formula>$F174="Navy"</x:formula>
    </x:cfRule>
    <x:cfRule type="expression" dxfId="117" priority="114">
      <x:formula>$F174="Navy"</x:formula>
    </x:cfRule>
    <x:cfRule type="expression" dxfId="116" priority="113">
      <x:formula>$F174="Red"</x:formula>
    </x:cfRule>
    <x:cfRule type="expression" dxfId="115" priority="112">
      <x:formula>$F174="Navy"</x:formula>
    </x:cfRule>
    <x:cfRule type="expression" dxfId="114" priority="111">
      <x:formula>$F174="Red"</x:formula>
    </x:cfRule>
  </x:conditionalFormatting>
  <x:conditionalFormatting sqref="A174:J176 A197:J200">
    <x:cfRule type="expression" dxfId="113" priority="115">
      <x:formula>$F174="Red"</x:formula>
    </x:cfRule>
  </x:conditionalFormatting>
  <x:conditionalFormatting sqref="A176:J178">
    <x:cfRule type="expression" dxfId="112" priority="108">
      <x:formula>$F176="Navy"</x:formula>
    </x:cfRule>
  </x:conditionalFormatting>
  <x:conditionalFormatting sqref="A176:J179">
    <x:cfRule type="expression" dxfId="111" priority="107">
      <x:formula>$F176="Red"</x:formula>
    </x:cfRule>
  </x:conditionalFormatting>
  <x:conditionalFormatting sqref="A177:J178 A197:J199 A201:J202">
    <x:cfRule type="expression" dxfId="110" priority="106">
      <x:formula>$F177="Navy"</x:formula>
    </x:cfRule>
  </x:conditionalFormatting>
  <x:conditionalFormatting sqref="A177:J178 A198:J199 A201:J202">
    <x:cfRule type="expression" dxfId="109" priority="105">
      <x:formula>$F177="Red"</x:formula>
    </x:cfRule>
    <x:cfRule type="expression" dxfId="108" priority="104">
      <x:formula>$F177="Navy"</x:formula>
    </x:cfRule>
    <x:cfRule type="expression" dxfId="107" priority="103">
      <x:formula>$F177="Red"</x:formula>
    </x:cfRule>
    <x:cfRule type="expression" dxfId="106" priority="102">
      <x:formula>$F177="Navy"</x:formula>
    </x:cfRule>
    <x:cfRule type="expression" dxfId="105" priority="101">
      <x:formula>$F177="Red"</x:formula>
    </x:cfRule>
  </x:conditionalFormatting>
  <x:conditionalFormatting sqref="A179:J181">
    <x:cfRule type="expression" dxfId="104" priority="98">
      <x:formula>$F179="Navy"</x:formula>
    </x:cfRule>
  </x:conditionalFormatting>
  <x:conditionalFormatting sqref="A179:J182">
    <x:cfRule type="expression" dxfId="103" priority="97">
      <x:formula>$F179="Red"</x:formula>
    </x:cfRule>
  </x:conditionalFormatting>
  <x:conditionalFormatting sqref="A180:J181">
    <x:cfRule type="expression" dxfId="102" priority="96">
      <x:formula>$F180="Navy"</x:formula>
    </x:cfRule>
    <x:cfRule type="expression" dxfId="101" priority="95">
      <x:formula>$F180="Red"</x:formula>
    </x:cfRule>
    <x:cfRule type="expression" dxfId="100" priority="94">
      <x:formula>$F180="Navy"</x:formula>
    </x:cfRule>
    <x:cfRule type="expression" dxfId="99" priority="93">
      <x:formula>$F180="Red"</x:formula>
    </x:cfRule>
    <x:cfRule type="expression" dxfId="98" priority="92">
      <x:formula>$F180="Navy"</x:formula>
    </x:cfRule>
    <x:cfRule type="expression" dxfId="97" priority="91">
      <x:formula>$F180="Red"</x:formula>
    </x:cfRule>
  </x:conditionalFormatting>
  <x:conditionalFormatting sqref="A182:J184">
    <x:cfRule type="expression" dxfId="96" priority="88">
      <x:formula>$F182="Navy"</x:formula>
    </x:cfRule>
  </x:conditionalFormatting>
  <x:conditionalFormatting sqref="A182:J185">
    <x:cfRule type="expression" dxfId="95" priority="87">
      <x:formula>$F182="Red"</x:formula>
    </x:cfRule>
  </x:conditionalFormatting>
  <x:conditionalFormatting sqref="A183:J184">
    <x:cfRule type="expression" dxfId="94" priority="85">
      <x:formula>$F183="Red"</x:formula>
    </x:cfRule>
    <x:cfRule type="expression" dxfId="93" priority="86">
      <x:formula>$F183="Navy"</x:formula>
    </x:cfRule>
    <x:cfRule type="expression" dxfId="92" priority="81">
      <x:formula>$F183="Red"</x:formula>
    </x:cfRule>
    <x:cfRule type="expression" dxfId="91" priority="82">
      <x:formula>$F183="Navy"</x:formula>
    </x:cfRule>
    <x:cfRule type="expression" dxfId="90" priority="83">
      <x:formula>$F183="Red"</x:formula>
    </x:cfRule>
    <x:cfRule type="expression" dxfId="89" priority="84">
      <x:formula>$F183="Navy"</x:formula>
    </x:cfRule>
  </x:conditionalFormatting>
  <x:conditionalFormatting sqref="A185:J187">
    <x:cfRule type="expression" dxfId="88" priority="78">
      <x:formula>$F185="Navy"</x:formula>
    </x:cfRule>
  </x:conditionalFormatting>
  <x:conditionalFormatting sqref="A185:J188">
    <x:cfRule type="expression" dxfId="87" priority="77">
      <x:formula>$F185="Red"</x:formula>
    </x:cfRule>
  </x:conditionalFormatting>
  <x:conditionalFormatting sqref="A186:J187">
    <x:cfRule type="expression" dxfId="86" priority="71">
      <x:formula>$F186="Red"</x:formula>
    </x:cfRule>
    <x:cfRule type="expression" dxfId="85" priority="72">
      <x:formula>$F186="Navy"</x:formula>
    </x:cfRule>
    <x:cfRule type="expression" dxfId="84" priority="73">
      <x:formula>$F186="Red"</x:formula>
    </x:cfRule>
    <x:cfRule type="expression" dxfId="83" priority="74">
      <x:formula>$F186="Navy"</x:formula>
    </x:cfRule>
    <x:cfRule type="expression" dxfId="82" priority="75">
      <x:formula>$F186="Red"</x:formula>
    </x:cfRule>
    <x:cfRule type="expression" dxfId="81" priority="76">
      <x:formula>$F186="Navy"</x:formula>
    </x:cfRule>
  </x:conditionalFormatting>
  <x:conditionalFormatting sqref="A188:J190">
    <x:cfRule type="expression" dxfId="80" priority="68">
      <x:formula>$F188="Navy"</x:formula>
    </x:cfRule>
  </x:conditionalFormatting>
  <x:conditionalFormatting sqref="A188:J191">
    <x:cfRule type="expression" dxfId="79" priority="67">
      <x:formula>$F188="Red"</x:formula>
    </x:cfRule>
  </x:conditionalFormatting>
  <x:conditionalFormatting sqref="A189:J190">
    <x:cfRule type="expression" dxfId="78" priority="61">
      <x:formula>$F189="Red"</x:formula>
    </x:cfRule>
    <x:cfRule type="expression" dxfId="77" priority="62">
      <x:formula>$F189="Navy"</x:formula>
    </x:cfRule>
    <x:cfRule type="expression" dxfId="76" priority="63">
      <x:formula>$F189="Red"</x:formula>
    </x:cfRule>
    <x:cfRule type="expression" dxfId="75" priority="64">
      <x:formula>$F189="Navy"</x:formula>
    </x:cfRule>
    <x:cfRule type="expression" dxfId="74" priority="65">
      <x:formula>$F189="Red"</x:formula>
    </x:cfRule>
    <x:cfRule type="expression" dxfId="73" priority="66">
      <x:formula>$F189="Navy"</x:formula>
    </x:cfRule>
  </x:conditionalFormatting>
  <x:conditionalFormatting sqref="A191:J193">
    <x:cfRule type="expression" dxfId="72" priority="58">
      <x:formula>$F191="Navy"</x:formula>
    </x:cfRule>
  </x:conditionalFormatting>
  <x:conditionalFormatting sqref="A191:J194">
    <x:cfRule type="expression" dxfId="71" priority="57">
      <x:formula>$F191="Red"</x:formula>
    </x:cfRule>
  </x:conditionalFormatting>
  <x:conditionalFormatting sqref="A192:J193">
    <x:cfRule type="expression" dxfId="70" priority="56">
      <x:formula>$F192="Navy"</x:formula>
    </x:cfRule>
    <x:cfRule type="expression" dxfId="69" priority="55">
      <x:formula>$F192="Red"</x:formula>
    </x:cfRule>
    <x:cfRule type="expression" dxfId="68" priority="51">
      <x:formula>$F192="Red"</x:formula>
    </x:cfRule>
    <x:cfRule type="expression" dxfId="67" priority="52">
      <x:formula>$F192="Navy"</x:formula>
    </x:cfRule>
    <x:cfRule type="expression" dxfId="66" priority="53">
      <x:formula>$F192="Red"</x:formula>
    </x:cfRule>
    <x:cfRule type="expression" dxfId="65" priority="54">
      <x:formula>$F192="Navy"</x:formula>
    </x:cfRule>
  </x:conditionalFormatting>
  <x:conditionalFormatting sqref="A194:J196">
    <x:cfRule type="expression" dxfId="64" priority="48">
      <x:formula>$F194="Navy"</x:formula>
    </x:cfRule>
    <x:cfRule type="expression" dxfId="63" priority="47">
      <x:formula>$F194="Red"</x:formula>
    </x:cfRule>
  </x:conditionalFormatting>
  <x:conditionalFormatting sqref="A195:J196">
    <x:cfRule type="expression" dxfId="62" priority="46">
      <x:formula>$F195="Navy"</x:formula>
    </x:cfRule>
    <x:cfRule type="expression" dxfId="61" priority="45">
      <x:formula>$F195="Red"</x:formula>
    </x:cfRule>
    <x:cfRule type="expression" dxfId="60" priority="44">
      <x:formula>$F195="Navy"</x:formula>
    </x:cfRule>
    <x:cfRule type="expression" dxfId="59" priority="43">
      <x:formula>$F195="Red"</x:formula>
    </x:cfRule>
    <x:cfRule type="expression" dxfId="58" priority="42">
      <x:formula>$F195="Navy"</x:formula>
    </x:cfRule>
    <x:cfRule type="expression" dxfId="57" priority="41">
      <x:formula>$F195="Red"</x:formula>
    </x:cfRule>
  </x:conditionalFormatting>
  <x:conditionalFormatting sqref="B6:B6">
    <x:cfRule type="expression" dxfId="56" priority="128">
      <x:formula>B6="Red"</x:formula>
    </x:cfRule>
    <x:cfRule type="expression" dxfId="55" priority="127">
      <x:formula>B6="Navy"</x:formula>
    </x:cfRule>
  </x:conditionalFormatting>
  <x:conditionalFormatting sqref="B173:B202 D173:D202 A176:J176 A179:J179 A182:J182 A185:J185 A188:J188 A191:J191 A194:J194 A197:J197 A200:J200">
    <x:cfRule type="expression" dxfId="54" priority="124">
      <x:formula>$F173="Navy"</x:formula>
    </x:cfRule>
    <x:cfRule type="expression" dxfId="53" priority="122">
      <x:formula>$F173="Navy"</x:formula>
    </x:cfRule>
    <x:cfRule type="expression" dxfId="52" priority="123">
      <x:formula>$F173="Red"</x:formula>
    </x:cfRule>
  </x:conditionalFormatting>
  <x:conditionalFormatting sqref="B173:B202 D173:D202">
    <x:cfRule type="expression" dxfId="51" priority="121">
      <x:formula>$F173="Red"</x:formula>
    </x:cfRule>
  </x:conditionalFormatting>
  <x:conditionalFormatting sqref="D150:D151">
    <x:cfRule type="expression" dxfId="50" priority="120">
      <x:formula>$F150="Navy"</x:formula>
    </x:cfRule>
    <x:cfRule type="expression" dxfId="49" priority="119">
      <x:formula>$F150="Red"</x:formula>
    </x:cfRule>
  </x:conditionalFormatting>
  <x:conditionalFormatting sqref="D153:D154">
    <x:cfRule type="expression" dxfId="48" priority="118">
      <x:formula>$F153="Navy"</x:formula>
    </x:cfRule>
    <x:cfRule type="expression" dxfId="47" priority="117">
      <x:formula>$F153="Red"</x:formula>
    </x:cfRule>
  </x:conditionalFormatting>
  <x:conditionalFormatting sqref="D162:D163">
    <x:cfRule type="expression" dxfId="46" priority="17">
      <x:formula>$F162="Red"</x:formula>
    </x:cfRule>
    <x:cfRule type="expression" dxfId="45" priority="18">
      <x:formula>$F162="Navy"</x:formula>
    </x:cfRule>
  </x:conditionalFormatting>
  <x:conditionalFormatting sqref="D165:D166">
    <x:cfRule type="expression" dxfId="44" priority="15">
      <x:formula>$F165="Red"</x:formula>
    </x:cfRule>
    <x:cfRule type="expression" dxfId="43" priority="16">
      <x:formula>$F165="Navy"</x:formula>
    </x:cfRule>
  </x:conditionalFormatting>
  <x:conditionalFormatting sqref="D168:D169">
    <x:cfRule type="expression" dxfId="42" priority="9">
      <x:formula>$F168="Red"</x:formula>
    </x:cfRule>
    <x:cfRule type="expression" dxfId="41" priority="10">
      <x:formula>$F168="Navy"</x:formula>
    </x:cfRule>
  </x:conditionalFormatting>
  <x:conditionalFormatting sqref="D171:D172">
    <x:cfRule type="expression" dxfId="40" priority="7">
      <x:formula>$F171="Red"</x:formula>
    </x:cfRule>
    <x:cfRule type="expression" dxfId="39" priority="8">
      <x:formula>$F171="Navy"</x:formula>
    </x:cfRule>
  </x:conditionalFormatting>
  <x:conditionalFormatting sqref="D174:D175">
    <x:cfRule type="expression" dxfId="38" priority="109">
      <x:formula>$F174="Red"</x:formula>
    </x:cfRule>
    <x:cfRule type="expression" dxfId="37" priority="110">
      <x:formula>$F174="Navy"</x:formula>
    </x:cfRule>
  </x:conditionalFormatting>
  <x:conditionalFormatting sqref="D177:D178">
    <x:cfRule type="expression" dxfId="36" priority="100">
      <x:formula>$F177="Navy"</x:formula>
    </x:cfRule>
    <x:cfRule type="expression" dxfId="35" priority="99">
      <x:formula>$F177="Red"</x:formula>
    </x:cfRule>
  </x:conditionalFormatting>
  <x:conditionalFormatting sqref="D180:D181">
    <x:cfRule type="expression" dxfId="34" priority="90">
      <x:formula>$F180="Navy"</x:formula>
    </x:cfRule>
    <x:cfRule type="expression" dxfId="33" priority="89">
      <x:formula>$F180="Red"</x:formula>
    </x:cfRule>
  </x:conditionalFormatting>
  <x:conditionalFormatting sqref="D183:D184">
    <x:cfRule type="expression" dxfId="32" priority="80">
      <x:formula>$F183="Navy"</x:formula>
    </x:cfRule>
    <x:cfRule type="expression" dxfId="31" priority="79">
      <x:formula>$F183="Red"</x:formula>
    </x:cfRule>
  </x:conditionalFormatting>
  <x:conditionalFormatting sqref="D186:D187">
    <x:cfRule type="expression" dxfId="30" priority="69">
      <x:formula>$F186="Red"</x:formula>
    </x:cfRule>
    <x:cfRule type="expression" dxfId="29" priority="70">
      <x:formula>$F186="Navy"</x:formula>
    </x:cfRule>
  </x:conditionalFormatting>
  <x:conditionalFormatting sqref="D189:D190">
    <x:cfRule type="expression" dxfId="28" priority="59">
      <x:formula>$F189="Red"</x:formula>
    </x:cfRule>
    <x:cfRule type="expression" dxfId="27" priority="60">
      <x:formula>$F189="Navy"</x:formula>
    </x:cfRule>
  </x:conditionalFormatting>
  <x:conditionalFormatting sqref="D192:D193">
    <x:cfRule type="expression" dxfId="26" priority="49">
      <x:formula>$F192="Red"</x:formula>
    </x:cfRule>
    <x:cfRule type="expression" dxfId="25" priority="50">
      <x:formula>$F192="Navy"</x:formula>
    </x:cfRule>
  </x:conditionalFormatting>
  <x:conditionalFormatting sqref="D195:D196">
    <x:cfRule type="expression" dxfId="24" priority="39">
      <x:formula>$F195="Red"</x:formula>
    </x:cfRule>
    <x:cfRule type="expression" dxfId="23" priority="40">
      <x:formula>$F195="Navy"</x:formula>
    </x:cfRule>
  </x:conditionalFormatting>
  <x:conditionalFormatting sqref="D198:D199">
    <x:cfRule type="expression" dxfId="22" priority="29">
      <x:formula>$F198="Red"</x:formula>
    </x:cfRule>
    <x:cfRule type="expression" dxfId="21" priority="30">
      <x:formula>$F198="Navy"</x:formula>
    </x:cfRule>
  </x:conditionalFormatting>
  <x:conditionalFormatting sqref="D201:D202">
    <x:cfRule type="expression" dxfId="20" priority="19">
      <x:formula>$F201="Red"</x:formula>
    </x:cfRule>
    <x:cfRule type="expression" dxfId="19" priority="20">
      <x:formula>$F201="Navy"</x:formula>
    </x:cfRule>
  </x:conditionalFormatting>
  <x:conditionalFormatting sqref="E29:E88">
    <x:cfRule type="expression" dxfId="18" priority="129">
      <x:formula>E29="W"</x:formula>
    </x:cfRule>
    <x:cfRule type="expression" dxfId="17" priority="130">
      <x:formula>E29="L"</x:formula>
    </x:cfRule>
  </x:conditionalFormatting>
  <x:conditionalFormatting sqref="H29:H88">
    <x:cfRule type="expression" dxfId="16" priority="131">
      <x:formula>H29="W"</x:formula>
    </x:cfRule>
    <x:cfRule type="expression" dxfId="15" priority="132">
      <x:formula>H29="L"</x:formula>
    </x:cfRule>
  </x:conditionalFormatting>
  <x:conditionalFormatting sqref="I29:I196">
    <x:cfRule type="expression" dxfId="14" priority="136">
      <x:formula>$I29="L"</x:formula>
    </x:cfRule>
    <x:cfRule type="expression" dxfId="13" priority="137">
      <x:formula>$I29="T"</x:formula>
    </x:cfRule>
    <x:cfRule type="expression" dxfId="12" priority="135">
      <x:formula>$I29="W"</x:formula>
    </x:cfRule>
  </x:conditionalFormatting>
  <x:conditionalFormatting sqref="K203:K203 K206:K206">
    <x:cfRule type="expression" dxfId="11" priority="226">
      <x:formula>$F197="Navy"</x:formula>
    </x:cfRule>
    <x:cfRule type="expression" dxfId="10" priority="225">
      <x:formula>$F197="Red"</x:formula>
    </x:cfRule>
  </x:conditionalFormatting>
  <x:conditionalFormatting sqref="K203:K208">
    <x:cfRule type="expression" dxfId="9" priority="184">
      <x:formula>$F197="Red"</x:formula>
    </x:cfRule>
    <x:cfRule type="expression" dxfId="8" priority="185">
      <x:formula>$F197="Navy"</x:formula>
    </x:cfRule>
    <x:cfRule type="expression" dxfId="7" priority="201">
      <x:formula>$F197="Navy"</x:formula>
    </x:cfRule>
    <x:cfRule type="expression" dxfId="6" priority="194">
      <x:formula>$F197="Red"</x:formula>
    </x:cfRule>
  </x:conditionalFormatting>
  <x:conditionalFormatting sqref="K204:K205 K207:K208">
    <x:cfRule type="expression" dxfId="5" priority="197">
      <x:formula>$F198="Navy"</x:formula>
    </x:cfRule>
    <x:cfRule type="expression" dxfId="4" priority="198">
      <x:formula>$F198="Red"</x:formula>
    </x:cfRule>
    <x:cfRule type="expression" dxfId="3" priority="199">
      <x:formula>$F198="Navy"</x:formula>
    </x:cfRule>
    <x:cfRule type="expression" dxfId="2" priority="200">
      <x:formula>$F198="Red"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840a2a20c614e62"/>
  </x:tableParts>
</x:worksheet>
</file>

<file path=xl/worksheets/sheet3.xml><?xml version="1.0" encoding="utf-8"?>
<x:worksheet xmlns:x="http://schemas.openxmlformats.org/spreadsheetml/2006/main">
  <x:sheetFormatPr defaultRowHeight="12.75"/>
  <x:cols>
    <x:col min="1" max="1" width="15" customWidth="1"/>
    <x:col min="2" max="2" width="21" customWidth="1"/>
    <x:col min="3" max="3" width="11" customWidth="1"/>
    <x:col min="4" max="7" width="10" customWidth="1"/>
    <x:col min="8" max="8" width="13" customWidth="1"/>
    <x:col min="9" max="9" width="14" customWidth="1"/>
    <x:col min="10" max="12" width="11" customWidth="1"/>
    <x:col min="13" max="14" width="12" customWidth="1"/>
    <x:col min="15" max="15" width="10" customWidth="1"/>
    <x:col min="16" max="16" width="25" customWidth="1"/>
    <x:col min="17" max="17" width="28" customWidth="1"/>
    <x:col min="18" max="18" width="20" customWidth="1"/>
    <x:col min="19" max="19" width="30" customWidth="1"/>
    <x:col min="20" max="20" width="44" customWidth="1"/>
    <x:col min="21" max="21" width="16" customWidth="1"/>
  </x:cols>
  <x:sheetData>
    <x:row r="1">
      <x:c r="A1" s="180" t="s">
        <x:v>149</x:v>
      </x:c>
      <x:c r="B1" s="180"/>
      <x:c r="C1" s="180"/>
      <x:c r="D1" s="180"/>
      <x:c r="E1" s="180"/>
      <x:c r="F1" s="180"/>
      <x:c r="G1" s="180"/>
      <x:c r="H1" s="180"/>
      <x:c r="I1" s="180"/>
      <x:c r="J1" s="180"/>
      <x:c r="K1" s="180"/>
      <x:c r="L1" s="180"/>
    </x:row>
    <x:row r="2">
      <x:c r="A2" s="180"/>
      <x:c r="B2" s="180"/>
      <x:c r="C2" s="180"/>
      <x:c r="D2" s="180"/>
      <x:c r="E2" s="180"/>
      <x:c r="F2" s="180"/>
      <x:c r="G2" s="180"/>
      <x:c r="H2" s="180"/>
      <x:c r="I2" s="180"/>
      <x:c r="J2" s="180"/>
      <x:c r="K2" s="180"/>
      <x:c r="L2" s="180"/>
    </x:row>
    <x:row r="4" ht="25.5">
      <x:c r="A4" s="4" t="s">
        <x:v>150</x:v>
      </x:c>
      <x:c r="B4" s="4" t="s">
        <x:v>151</x:v>
      </x:c>
      <x:c r="C4" s="4" t="s">
        <x:v>81</x:v>
      </x:c>
      <x:c r="D4" s="4" t="s">
        <x:v>152</x:v>
      </x:c>
      <x:c r="E4" s="4" t="s">
        <x:v>153</x:v>
      </x:c>
      <x:c r="F4" s="4" t="s">
        <x:v>154</x:v>
      </x:c>
      <x:c r="G4" s="4" t="s">
        <x:v>155</x:v>
      </x:c>
      <x:c r="H4" s="4" t="s">
        <x:v>156</x:v>
      </x:c>
      <x:c r="I4" s="4" t="s">
        <x:v>157</x:v>
      </x:c>
      <x:c r="J4" s="4" t="s">
        <x:v>158</x:v>
      </x:c>
      <x:c r="K4" s="4" t="s">
        <x:v>159</x:v>
      </x:c>
      <x:c r="L4" s="4" t="s">
        <x:v>160</x:v>
      </x:c>
      <x:c r="M4" s="145" t="s">
        <x:v>161</x:v>
      </x:c>
      <x:c r="N4" s="145" t="s">
        <x:v>162</x:v>
      </x:c>
      <x:c r="O4" s="145" t="s">
        <x:v>163</x:v>
      </x:c>
      <x:c r="P4" s="145" t="s">
        <x:v>164</x:v>
      </x:c>
      <x:c r="Q4" s="145" t="s">
        <x:v>165</x:v>
      </x:c>
      <x:c r="R4" s="145" t="s">
        <x:v>166</x:v>
      </x:c>
      <x:c r="S4" s="145" t="s">
        <x:v>167</x:v>
      </x:c>
      <x:c r="T4" s="145" t="s">
        <x:v>168</x:v>
      </x:c>
      <x:c r="U4" s="145" t="s">
        <x:v>169</x:v>
      </x:c>
    </x:row>
    <x:row r="5" ht="38.25">
      <x:c r="A5" s="2" t="s">
        <x:v>170</x:v>
      </x:c>
      <x:c r="B5" s="2" t="s">
        <x:v>42</x:v>
      </x:c>
      <x:c r="C5" s="2" t="s">
        <x:v>88</x:v>
      </x:c>
      <x:c r="D5" s="2" t="s">
        <x:v>171</x:v>
      </x:c>
      <x:c r="E5" s="2">
        <x:v>8</x:v>
      </x:c>
      <x:c r="F5" s="2">
        <x:v>6</x:v>
      </x:c>
      <x:c r="G5" s="2">
        <x:v>1</x:v>
      </x:c>
      <x:c r="H5" s="2" t="n">
        <x:f t="shared" ref="H5:H12" si="0">SUM(E5:G5)</x:f>
        <x:v>15</x:v>
      </x:c>
      <x:c r="I5" s="3" t="n">
        <x:f t="shared" ref="I5:I12" si="1">IF(H5=0,0,(E5+G5/2)/H5)</x:f>
        <x:v>0.5666666666666667</x:v>
      </x:c>
      <x:c r="J5" s="2" t="n">
        <x:f>'Live Leaderboard'!D60</x:f>
        <x:v>0</x:v>
      </x:c>
      <x:c r="K5" s="2" t="n">
        <x:f>'Live Leaderboard'!E60</x:f>
        <x:v>0</x:v>
      </x:c>
      <x:c r="L5" s="2" t="n">
        <x:f>'Live Leaderboard'!F60</x:f>
        <x:v>0</x:v>
      </x:c>
      <x:c r="M5" s="146" t="s">
        <x:v>172</x:v>
      </x:c>
      <x:c r="N5" s="146" t="s">
        <x:v>173</x:v>
      </x:c>
      <x:c r="O5" s="147">
        <x:v>13</x:v>
      </x:c>
      <x:c r="P5" s="148" t="s">
        <x:v>174</x:v>
      </x:c>
      <x:c r="Q5" s="148" t="s">
        <x:v>175</x:v>
      </x:c>
      <x:c r="R5" s="148" t="s">
        <x:v>176</x:v>
      </x:c>
      <x:c r="S5" s="148" t="s">
        <x:v>177</x:v>
      </x:c>
      <x:c r="T5" s="148" t="s">
        <x:v>178</x:v>
      </x:c>
      <x:c r="U5" s="146" t="s">
        <x:v>170</x:v>
      </x:c>
    </x:row>
    <x:row r="6" ht="38.25">
      <x:c r="A6" s="2" t="s">
        <x:v>179</x:v>
      </x:c>
      <x:c r="B6" s="2" t="s">
        <x:v>41</x:v>
      </x:c>
      <x:c r="C6" s="2" t="s">
        <x:v>88</x:v>
      </x:c>
      <x:c r="D6" s="2" t="s">
        <x:v>171</x:v>
      </x:c>
      <x:c r="E6" s="2">
        <x:v>6</x:v>
      </x:c>
      <x:c r="F6" s="2">
        <x:v>8</x:v>
      </x:c>
      <x:c r="G6" s="2">
        <x:v>1</x:v>
      </x:c>
      <x:c r="H6" s="2">
        <x:f t="shared" si="0"/>
        <x:v>15</x:v>
      </x:c>
      <x:c r="I6" s="3">
        <x:f t="shared" si="1"/>
        <x:v>0.43333333333333335</x:v>
      </x:c>
      <x:c r="J6" s="2" t="n">
        <x:f>'Live Leaderboard'!D61</x:f>
        <x:v>0</x:v>
      </x:c>
      <x:c r="K6" s="2" t="n">
        <x:f>'Live Leaderboard'!E61</x:f>
        <x:v>0</x:v>
      </x:c>
      <x:c r="L6" s="2" t="n">
        <x:f>'Live Leaderboard'!F61</x:f>
        <x:v>0</x:v>
      </x:c>
      <x:c r="M6" s="146" t="s">
        <x:v>180</x:v>
      </x:c>
      <x:c r="N6" s="146" t="s">
        <x:v>181</x:v>
      </x:c>
      <x:c r="O6" s="147">
        <x:v>8</x:v>
      </x:c>
      <x:c r="P6" s="148" t="s">
        <x:v>182</x:v>
      </x:c>
      <x:c r="Q6" s="148" t="s">
        <x:v>183</x:v>
      </x:c>
      <x:c r="R6" s="148" t="s">
        <x:v>184</x:v>
      </x:c>
      <x:c r="S6" s="148" t="s">
        <x:v>185</x:v>
      </x:c>
      <x:c r="T6" s="148" t="s">
        <x:v>186</x:v>
      </x:c>
      <x:c r="U6" s="146" t="s">
        <x:v>179</x:v>
      </x:c>
    </x:row>
    <x:row r="7" ht="38.25">
      <x:c r="A7" s="2" t="s">
        <x:v>187</x:v>
      </x:c>
      <x:c r="B7" s="2" t="s">
        <x:v>50</x:v>
      </x:c>
      <x:c r="C7" s="2" t="s">
        <x:v>88</x:v>
      </x:c>
      <x:c r="D7" s="2" t="s">
        <x:v>171</x:v>
      </x:c>
      <x:c r="E7" s="2">
        <x:v>5</x:v>
      </x:c>
      <x:c r="F7" s="2">
        <x:v>10</x:v>
      </x:c>
      <x:c r="G7" s="2">
        <x:v>0</x:v>
      </x:c>
      <x:c r="H7" s="2">
        <x:f t="shared" si="0"/>
        <x:v>15</x:v>
      </x:c>
      <x:c r="I7" s="3">
        <x:f t="shared" si="1"/>
        <x:v>0.33333333333333331</x:v>
      </x:c>
      <x:c r="J7" s="2" t="n">
        <x:f>'Live Leaderboard'!D62</x:f>
        <x:v>0</x:v>
      </x:c>
      <x:c r="K7" s="2" t="n">
        <x:f>'Live Leaderboard'!E62</x:f>
        <x:v>0</x:v>
      </x:c>
      <x:c r="L7" s="2" t="n">
        <x:f>'Live Leaderboard'!F62</x:f>
        <x:v>0</x:v>
      </x:c>
      <x:c r="M7" s="146" t="s">
        <x:v>188</x:v>
      </x:c>
      <x:c r="N7" s="146" t="s">
        <x:v>189</x:v>
      </x:c>
      <x:c r="O7" s="147">
        <x:v>21</x:v>
      </x:c>
      <x:c r="P7" s="148" t="s">
        <x:v>182</x:v>
      </x:c>
      <x:c r="Q7" s="148" t="s">
        <x:v>190</x:v>
      </x:c>
      <x:c r="R7" s="148" t="s">
        <x:v>191</x:v>
      </x:c>
      <x:c r="S7" s="148" t="s">
        <x:v>192</x:v>
      </x:c>
      <x:c r="T7" s="148" t="s">
        <x:v>193</x:v>
      </x:c>
      <x:c r="U7" s="146" t="s">
        <x:v>187</x:v>
      </x:c>
    </x:row>
    <x:row r="8" ht="38.25">
      <x:c r="A8" s="2" t="s">
        <x:v>194</x:v>
      </x:c>
      <x:c r="B8" s="2" t="s">
        <x:v>51</x:v>
      </x:c>
      <x:c r="C8" s="2" t="s">
        <x:v>88</x:v>
      </x:c>
      <x:c r="D8" s="2" t="s">
        <x:v>171</x:v>
      </x:c>
      <x:c r="E8" s="2">
        <x:v>4</x:v>
      </x:c>
      <x:c r="F8" s="2">
        <x:v>11</x:v>
      </x:c>
      <x:c r="G8" s="2">
        <x:v>0</x:v>
      </x:c>
      <x:c r="H8" s="2">
        <x:f t="shared" si="0"/>
        <x:v>15</x:v>
      </x:c>
      <x:c r="I8" s="3">
        <x:f t="shared" si="1"/>
        <x:v>0.26666666666666666</x:v>
      </x:c>
      <x:c r="J8" s="2" t="n">
        <x:f>'Live Leaderboard'!D63</x:f>
        <x:v>0</x:v>
      </x:c>
      <x:c r="K8" s="2" t="n">
        <x:f>'Live Leaderboard'!E63</x:f>
        <x:v>0</x:v>
      </x:c>
      <x:c r="L8" s="2" t="n">
        <x:f>'Live Leaderboard'!F63</x:f>
        <x:v>0</x:v>
      </x:c>
      <x:c r="M8" s="146" t="s">
        <x:v>195</x:v>
      </x:c>
      <x:c r="N8" s="146" t="s">
        <x:v>196</x:v>
      </x:c>
      <x:c r="O8" s="147">
        <x:v>15</x:v>
      </x:c>
      <x:c r="P8" s="148" t="s">
        <x:v>197</x:v>
      </x:c>
      <x:c r="Q8" s="148" t="s">
        <x:v>198</x:v>
      </x:c>
      <x:c r="R8" s="148" t="s">
        <x:v>199</x:v>
      </x:c>
      <x:c r="S8" s="148" t="s">
        <x:v>200</x:v>
      </x:c>
      <x:c r="T8" s="148" t="s">
        <x:v>201</x:v>
      </x:c>
      <x:c r="U8" s="146" t="s">
        <x:v>194</x:v>
      </x:c>
    </x:row>
    <x:row r="9" ht="38.25">
      <x:c r="A9" s="2" t="s">
        <x:v>202</x:v>
      </x:c>
      <x:c r="B9" s="2" t="s">
        <x:v>44</x:v>
      </x:c>
      <x:c r="C9" s="2" t="s">
        <x:v>89</x:v>
      </x:c>
      <x:c r="D9" s="2" t="s">
        <x:v>171</x:v>
      </x:c>
      <x:c r="E9" s="2">
        <x:v>8</x:v>
      </x:c>
      <x:c r="F9" s="2">
        <x:v>7</x:v>
      </x:c>
      <x:c r="G9" s="2">
        <x:v>0</x:v>
      </x:c>
      <x:c r="H9" s="2">
        <x:f t="shared" si="0"/>
        <x:v>15</x:v>
      </x:c>
      <x:c r="I9" s="3">
        <x:f t="shared" si="1"/>
        <x:v>0.53333333333333333</x:v>
      </x:c>
      <x:c r="J9" s="2" t="n">
        <x:f>'Live Leaderboard'!D64</x:f>
        <x:v>0</x:v>
      </x:c>
      <x:c r="K9" s="2" t="n">
        <x:f>'Live Leaderboard'!E64</x:f>
        <x:v>0</x:v>
      </x:c>
      <x:c r="L9" s="2" t="n">
        <x:f>'Live Leaderboard'!F64</x:f>
        <x:v>0</x:v>
      </x:c>
      <x:c r="M9" s="146" t="s">
        <x:v>203</x:v>
      </x:c>
      <x:c r="N9" s="146" t="s">
        <x:v>204</x:v>
      </x:c>
      <x:c r="O9" s="147">
        <x:v>16</x:v>
      </x:c>
      <x:c r="P9" s="148" t="s">
        <x:v>174</x:v>
      </x:c>
      <x:c r="Q9" s="148" t="s">
        <x:v>205</x:v>
      </x:c>
      <x:c r="R9" s="148" t="s">
        <x:v>206</x:v>
      </x:c>
      <x:c r="S9" s="148" t="s">
        <x:v>207</x:v>
      </x:c>
      <x:c r="T9" s="148" t="s">
        <x:v>208</x:v>
      </x:c>
      <x:c r="U9" s="146" t="s">
        <x:v>202</x:v>
      </x:c>
    </x:row>
    <x:row r="10" ht="38.25">
      <x:c r="A10" s="2" t="s">
        <x:v>209</x:v>
      </x:c>
      <x:c r="B10" s="2" t="s">
        <x:v>53</x:v>
      </x:c>
      <x:c r="C10" s="2" t="s">
        <x:v>89</x:v>
      </x:c>
      <x:c r="D10" s="2" t="s">
        <x:v>171</x:v>
      </x:c>
      <x:c r="E10" s="2">
        <x:v>9</x:v>
      </x:c>
      <x:c r="F10" s="2">
        <x:v>6</x:v>
      </x:c>
      <x:c r="G10" s="2">
        <x:v>0</x:v>
      </x:c>
      <x:c r="H10" s="2">
        <x:f t="shared" si="0"/>
        <x:v>15</x:v>
      </x:c>
      <x:c r="I10" s="3">
        <x:f t="shared" si="1"/>
        <x:v>0.6</x:v>
      </x:c>
      <x:c r="J10" s="2" t="n">
        <x:f>'Live Leaderboard'!D65</x:f>
        <x:v>0</x:v>
      </x:c>
      <x:c r="K10" s="2" t="n">
        <x:f>'Live Leaderboard'!E65</x:f>
        <x:v>0</x:v>
      </x:c>
      <x:c r="L10" s="2" t="n">
        <x:f>'Live Leaderboard'!F65</x:f>
        <x:v>0</x:v>
      </x:c>
      <x:c r="M10" s="146" t="s">
        <x:v>210</x:v>
      </x:c>
      <x:c r="N10" s="146" t="s">
        <x:v>211</x:v>
      </x:c>
      <x:c r="O10" s="147">
        <x:v>12</x:v>
      </x:c>
      <x:c r="P10" s="148" t="s">
        <x:v>212</x:v>
      </x:c>
      <x:c r="Q10" s="148" t="s">
        <x:v>205</x:v>
      </x:c>
      <x:c r="R10" s="148" t="s">
        <x:v>213</x:v>
      </x:c>
      <x:c r="S10" s="148" t="s">
        <x:v>214</x:v>
      </x:c>
      <x:c r="T10" s="148" t="s">
        <x:v>215</x:v>
      </x:c>
      <x:c r="U10" s="146" t="s">
        <x:v>209</x:v>
      </x:c>
    </x:row>
    <x:row r="11" ht="38.25">
      <x:c r="A11" s="2" t="s">
        <x:v>216</x:v>
      </x:c>
      <x:c r="B11" s="2" t="s">
        <x:v>52</x:v>
      </x:c>
      <x:c r="C11" s="2" t="s">
        <x:v>89</x:v>
      </x:c>
      <x:c r="D11" s="2" t="s">
        <x:v>171</x:v>
      </x:c>
      <x:c r="E11" s="2">
        <x:v>10</x:v>
      </x:c>
      <x:c r="F11" s="2">
        <x:v>5</x:v>
      </x:c>
      <x:c r="G11" s="2">
        <x:v>0</x:v>
      </x:c>
      <x:c r="H11" s="2">
        <x:f t="shared" si="0"/>
        <x:v>15</x:v>
      </x:c>
      <x:c r="I11" s="3">
        <x:f t="shared" si="1"/>
        <x:v>0.66666666666666663</x:v>
      </x:c>
      <x:c r="J11" s="2" t="n">
        <x:f>'Live Leaderboard'!D66</x:f>
        <x:v>0</x:v>
      </x:c>
      <x:c r="K11" s="2" t="n">
        <x:f>'Live Leaderboard'!E66</x:f>
        <x:v>0</x:v>
      </x:c>
      <x:c r="L11" s="2" t="n">
        <x:f>'Live Leaderboard'!F66</x:f>
        <x:v>0</x:v>
      </x:c>
      <x:c r="M11" s="146" t="s">
        <x:v>217</x:v>
      </x:c>
      <x:c r="N11" s="146" t="s">
        <x:v>218</x:v>
      </x:c>
      <x:c r="O11" s="147">
        <x:v>24</x:v>
      </x:c>
      <x:c r="P11" s="148" t="s">
        <x:v>174</x:v>
      </x:c>
      <x:c r="Q11" s="148" t="s">
        <x:v>219</x:v>
      </x:c>
      <x:c r="R11" s="148" t="s">
        <x:v>220</x:v>
      </x:c>
      <x:c r="S11" s="148" t="s">
        <x:v>220</x:v>
      </x:c>
      <x:c r="T11" s="148" t="s">
        <x:v>221</x:v>
      </x:c>
      <x:c r="U11" s="146" t="s">
        <x:v>216</x:v>
      </x:c>
    </x:row>
    <x:row r="12" ht="25.5">
      <x:c r="A12" s="2" t="s">
        <x:v>222</x:v>
      </x:c>
      <x:c r="B12" s="2" t="s">
        <x:v>43</x:v>
      </x:c>
      <x:c r="C12" s="2" t="s">
        <x:v>89</x:v>
      </x:c>
      <x:c r="D12" s="2" t="s">
        <x:v>171</x:v>
      </x:c>
      <x:c r="E12" s="2">
        <x:v>8</x:v>
      </x:c>
      <x:c r="F12" s="2">
        <x:v>5</x:v>
      </x:c>
      <x:c r="G12" s="2">
        <x:v>2</x:v>
      </x:c>
      <x:c r="H12" s="2">
        <x:f t="shared" si="0"/>
        <x:v>15</x:v>
      </x:c>
      <x:c r="I12" s="3">
        <x:f t="shared" si="1"/>
        <x:v>0.6</x:v>
      </x:c>
      <x:c r="J12" s="2" t="n">
        <x:f>'Live Leaderboard'!D67</x:f>
        <x:v>0</x:v>
      </x:c>
      <x:c r="K12" s="2" t="n">
        <x:f>'Live Leaderboard'!E67</x:f>
        <x:v>0</x:v>
      </x:c>
      <x:c r="L12" s="2" t="n">
        <x:f>'Live Leaderboard'!F67</x:f>
        <x:v>0</x:v>
      </x:c>
      <x:c r="M12" s="146" t="s">
        <x:v>223</x:v>
      </x:c>
      <x:c r="N12" s="146" t="s">
        <x:v>224</x:v>
      </x:c>
      <x:c r="O12" s="147">
        <x:v>5</x:v>
      </x:c>
      <x:c r="P12" s="148" t="s">
        <x:v>225</x:v>
      </x:c>
      <x:c r="Q12" s="148" t="s">
        <x:v>226</x:v>
      </x:c>
      <x:c r="R12" s="148" t="s">
        <x:v>227</x:v>
      </x:c>
      <x:c r="S12" s="148" t="s">
        <x:v>228</x:v>
      </x:c>
      <x:c r="T12" s="148" t="s">
        <x:v>229</x:v>
      </x:c>
      <x:c r="U12" s="146" t="s">
        <x:v>222</x:v>
      </x:c>
    </x:row>
    <x:row r="15">
      <x:c r="A15" s="181" t="s">
        <x:v>230</x:v>
      </x:c>
      <x:c r="B15" s="181"/>
      <x:c r="C15" s="181"/>
      <x:c r="D15" s="181"/>
      <x:c r="E15" s="181"/>
      <x:c r="F15" s="181"/>
      <x:c r="G15" s="181"/>
      <x:c r="H15" s="181"/>
      <x:c r="I15" s="181"/>
      <x:c r="J15" s="181"/>
      <x:c r="K15" s="181"/>
      <x:c r="L15" s="181"/>
    </x:row>
  </x:sheetData>
  <x:mergeCells>
    <x:mergeCell ref="A1:L2"/>
    <x:mergeCell ref="A15:L15"/>
  </x:mergeCells>
  <x:conditionalFormatting sqref="C5:C12">
    <x:cfRule type="expression" dxfId="1" priority="1">
      <x:formula>C5="Navy"</x:formula>
    </x:cfRule>
    <x:cfRule type="expression" dxfId="0" priority="2">
      <x:formula>C5="Red"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2.75"/>
  <x:cols>
    <x:col min="1" max="1" width="18" customWidth="1"/>
    <x:col min="2" max="2" width="20" customWidth="1"/>
    <x:col min="3" max="3" width="14" customWidth="1"/>
    <x:col min="4" max="4" width="12" customWidth="1"/>
    <x:col min="5" max="5" width="22" customWidth="1"/>
    <x:col min="6" max="6" width="16" customWidth="1"/>
    <x:col min="7" max="7" width="14" customWidth="1"/>
    <x:col min="8" max="11" width="18" customWidth="1"/>
    <x:col min="12" max="12" width="16" customWidth="1"/>
    <x:col min="13" max="13" width="13" customWidth="1"/>
    <x:col min="14" max="14" width="30" customWidth="1"/>
    <x:col min="15" max="15" width="12" customWidth="1"/>
    <x:col min="16" max="18" width="13" customWidth="1"/>
  </x:cols>
  <x:sheetData>
    <x:row r="1" ht="25.5">
      <x:c r="A1" s="182" t="s">
        <x:v>231</x:v>
      </x:c>
      <x:c r="B1" s="182" t="s">
        <x:v>232</x:v>
      </x:c>
      <x:c r="C1" s="182" t="s">
        <x:v>233</x:v>
      </x:c>
      <x:c r="D1" s="182" t="s">
        <x:v>234</x:v>
      </x:c>
      <x:c r="E1" s="182" t="s">
        <x:v>235</x:v>
      </x:c>
      <x:c r="F1" s="182" t="s">
        <x:v>236</x:v>
      </x:c>
      <x:c r="G1" s="182" t="s">
        <x:v>237</x:v>
      </x:c>
      <x:c r="H1" s="182" t="s">
        <x:v>238</x:v>
      </x:c>
      <x:c r="I1" s="182" t="s">
        <x:v>239</x:v>
      </x:c>
      <x:c r="J1" s="182" t="s">
        <x:v>240</x:v>
      </x:c>
      <x:c r="K1" s="182" t="s">
        <x:v>241</x:v>
      </x:c>
      <x:c r="L1" s="182" t="s">
        <x:v>242</x:v>
      </x:c>
      <x:c r="M1" s="182" t="s">
        <x:v>243</x:v>
      </x:c>
      <x:c r="N1" s="182" t="s">
        <x:v>244</x:v>
      </x:c>
      <x:c r="O1" s="182" t="s">
        <x:v>245</x:v>
      </x:c>
      <x:c r="P1" s="154" t="s">
        <x:v>246</x:v>
      </x:c>
      <x:c r="Q1" s="154" t="s">
        <x:v>247</x:v>
      </x:c>
      <x:c r="R1" s="154" t="s">
        <x:v>248</x:v>
      </x:c>
    </x:row>
    <x:row r="2">
      <x:c r="A2" s="183" t="str">
        <x:f>"scramble"</x:f>
        <x:v>scramble</x:v>
      </x:c>
      <x:c r="B2" s="183" t="str">
        <x:f>"cyder-cup-2026"</x:f>
        <x:v>cyder-cup-2026</x:v>
      </x:c>
      <x:c r="C2" s="183" t="str">
        <x:f t="shared" ref="C2:C7" si="0">"session-1"</x:f>
        <x:v>session-1</x:v>
      </x:c>
      <x:c r="D2" s="183" t="n">
        <x:f>1</x:f>
        <x:v>1</x:v>
      </x:c>
      <x:c r="E2" s="183" t="str">
        <x:f>"Scramble"</x:f>
        <x:v>Scramble</x:v>
      </x:c>
      <x:c r="F2" s="183" t="str">
        <x:f>"scramble"</x:f>
        <x:v>scramble</x:v>
      </x:c>
      <x:c r="G2" s="183" t="str">
        <x:f>'Live Leaderboard'!F15</x:f>
        <x:v>Not Started</x:v>
      </x:c>
      <x:c r="H2" s="183" t="str">
        <x:f t="shared" ref="H2:I7" si="1">"all-navy"</x:f>
        <x:v>all-navy</x:v>
      </x:c>
      <x:c r="I2" s="183" t="str">
        <x:f t="shared" si="1"/>
        <x:v>all-navy</x:v>
      </x:c>
      <x:c r="J2" s="183" t="str">
        <x:f t="shared" ref="J2:K7" si="2">"all-red"</x:f>
        <x:v>all-red</x:v>
      </x:c>
      <x:c r="K2" s="183" t="str">
        <x:f t="shared" si="2"/>
        <x:v>all-red</x:v>
      </x:c>
      <x:c r="L2" s="183" t="str">
        <x:f>""</x:f>
      </x:c>
      <x:c r="M2" s="183" t="str">
        <x:f>""</x:f>
      </x:c>
      <x:c r="N2" s="183" t="n">
        <x:f>'Live Leaderboard'!E15</x:f>
        <x:v>0</x:v>
      </x:c>
      <x:c r="O2" s="183" t="str">
        <x:f>IF(OR('Live Leaderboard'!D15="",'Live Leaderboard'!D15=0),"",IF(LOWER('Live Leaderboard'!D15)="navy","navy",IF(LOWER('Live Leaderboard'!D15)="red","red","halved")))</x:f>
      </x:c>
      <x:c r="P2" s="156" t="n">
        <x:f>'Live Leaderboard'!H15+'Live Leaderboard'!H16+'Live Leaderboard'!H17</x:f>
        <x:v>0</x:v>
      </x:c>
      <x:c r="Q2" s="156" t="n">
        <x:f>'Live Leaderboard'!G15+'Live Leaderboard'!G16+'Live Leaderboard'!G17</x:f>
        <x:v>0</x:v>
      </x:c>
      <x:c r="R2" s="156" t="n">
        <x:f>'Live Leaderboard'!C15+'Live Leaderboard'!C16+'Live Leaderboard'!C17</x:f>
        <x:v>3</x:v>
      </x:c>
    </x:row>
    <x:row r="3" ht="13.5">
      <x:c r="A3" s="158" t="str">
        <x:f>"drinking-1"</x:f>
        <x:v>drinking-1</x:v>
      </x:c>
      <x:c r="B3" s="158" t="str">
        <x:f>"cyder-cup-2026"</x:f>
        <x:v>cyder-cup-2026</x:v>
      </x:c>
      <x:c r="C3" s="158" t="str">
        <x:f t="shared" si="0"/>
        <x:v>session-1</x:v>
      </x:c>
      <x:c r="D3" s="158" t="n">
        <x:f>2</x:f>
        <x:v>2</x:v>
      </x:c>
      <x:c r="E3" s="158" t="str">
        <x:f>"Drinking Games #1"</x:f>
        <x:v>Drinking Games #1</x:v>
      </x:c>
      <x:c r="F3" s="158" t="str">
        <x:f>"drinking-game"</x:f>
        <x:v>drinking-game</x:v>
      </x:c>
      <x:c r="G3" s="158" t="str">
        <x:f>'Live Leaderboard'!F18</x:f>
        <x:v>Not Started</x:v>
      </x:c>
      <x:c r="H3" s="158" t="str">
        <x:f t="shared" si="1"/>
        <x:v>all-navy</x:v>
      </x:c>
      <x:c r="I3" s="158" t="str">
        <x:f t="shared" si="1"/>
        <x:v>all-navy</x:v>
      </x:c>
      <x:c r="J3" s="158" t="str">
        <x:f t="shared" si="2"/>
        <x:v>all-red</x:v>
      </x:c>
      <x:c r="K3" s="158" t="str">
        <x:f t="shared" si="2"/>
        <x:v>all-red</x:v>
      </x:c>
      <x:c r="L3" s="158" t="str">
        <x:f>""</x:f>
      </x:c>
      <x:c r="M3" s="158" t="str">
        <x:f>""</x:f>
      </x:c>
      <x:c r="N3" s="158" t="n">
        <x:f>'Live Leaderboard'!E18</x:f>
        <x:v>0</x:v>
      </x:c>
      <x:c r="O3" s="158" t="str">
        <x:f>IF(OR('Live Leaderboard'!D18="",'Live Leaderboard'!D18=0),"",IF(LOWER('Live Leaderboard'!D18)="navy","navy",IF(LOWER('Live Leaderboard'!D18)="red","red","halved")))</x:f>
      </x:c>
      <x:c r="P3" s="156" t="n">
        <x:f>'Live Leaderboard'!H18</x:f>
        <x:v>0</x:v>
      </x:c>
      <x:c r="Q3" s="156" t="n">
        <x:f>'Live Leaderboard'!G18</x:f>
        <x:v>0</x:v>
      </x:c>
      <x:c r="R3" s="156" t="n">
        <x:f>'Live Leaderboard'!C18</x:f>
        <x:v>1</x:v>
      </x:c>
    </x:row>
    <x:row r="4">
      <x:c r="A4" s="184" t="str">
        <x:f>"drinking-2"</x:f>
        <x:v>drinking-2</x:v>
      </x:c>
      <x:c r="B4" s="184" t="str">
        <x:f>"cyder-cup-2026"</x:f>
        <x:v>cyder-cup-2026</x:v>
      </x:c>
      <x:c r="C4" s="184" t="str">
        <x:f t="shared" si="0"/>
        <x:v>session-1</x:v>
      </x:c>
      <x:c r="D4" s="184" t="n">
        <x:f>3</x:f>
        <x:v>3</x:v>
      </x:c>
      <x:c r="E4" s="184" t="str">
        <x:f>"Drinking Games #2"</x:f>
        <x:v>Drinking Games #2</x:v>
      </x:c>
      <x:c r="F4" s="184" t="str">
        <x:f>"drinking-game"</x:f>
        <x:v>drinking-game</x:v>
      </x:c>
      <x:c r="G4" s="184" t="str">
        <x:f>'Live Leaderboard'!F19</x:f>
        <x:v>Not Started</x:v>
      </x:c>
      <x:c r="H4" s="184" t="str">
        <x:f t="shared" si="1"/>
        <x:v>all-navy</x:v>
      </x:c>
      <x:c r="I4" s="184" t="str">
        <x:f t="shared" si="1"/>
        <x:v>all-navy</x:v>
      </x:c>
      <x:c r="J4" s="184" t="str">
        <x:f t="shared" si="2"/>
        <x:v>all-red</x:v>
      </x:c>
      <x:c r="K4" s="184" t="str">
        <x:f t="shared" si="2"/>
        <x:v>all-red</x:v>
      </x:c>
      <x:c r="L4" s="184" t="str">
        <x:f>""</x:f>
      </x:c>
      <x:c r="M4" s="184" t="str">
        <x:f>""</x:f>
      </x:c>
      <x:c r="N4" s="184" t="n">
        <x:f>'Live Leaderboard'!E19</x:f>
        <x:v>0</x:v>
      </x:c>
      <x:c r="O4" s="184" t="str">
        <x:f>IF(OR('Live Leaderboard'!D19="",'Live Leaderboard'!D19=0),"",IF(LOWER('Live Leaderboard'!D19)="navy","navy",IF(LOWER('Live Leaderboard'!D19)="red","red","halved")))</x:f>
      </x:c>
      <x:c r="P4" s="156" t="n">
        <x:f>'Live Leaderboard'!H19</x:f>
        <x:v>0</x:v>
      </x:c>
      <x:c r="Q4" s="156" t="n">
        <x:f>'Live Leaderboard'!G19</x:f>
        <x:v>0</x:v>
      </x:c>
      <x:c r="R4" s="156" t="n">
        <x:f>'Live Leaderboard'!C19</x:f>
        <x:v>1</x:v>
      </x:c>
    </x:row>
    <x:row r="5" ht="13.5">
      <x:c r="A5" s="158" t="str">
        <x:f>"drinking-3"</x:f>
        <x:v>drinking-3</x:v>
      </x:c>
      <x:c r="B5" s="158" t="str">
        <x:f>"cyder-cup-2026"</x:f>
        <x:v>cyder-cup-2026</x:v>
      </x:c>
      <x:c r="C5" s="158" t="str">
        <x:f t="shared" si="0"/>
        <x:v>session-1</x:v>
      </x:c>
      <x:c r="D5" s="158" t="n">
        <x:f>4</x:f>
        <x:v>4</x:v>
      </x:c>
      <x:c r="E5" s="158" t="str">
        <x:f>"Drinking Games #3"</x:f>
        <x:v>Drinking Games #3</x:v>
      </x:c>
      <x:c r="F5" s="158" t="str">
        <x:f>"drinking-game"</x:f>
        <x:v>drinking-game</x:v>
      </x:c>
      <x:c r="G5" s="158" t="str">
        <x:f>'Live Leaderboard'!F20</x:f>
        <x:v>Not Started</x:v>
      </x:c>
      <x:c r="H5" s="158" t="str">
        <x:f t="shared" si="1"/>
        <x:v>all-navy</x:v>
      </x:c>
      <x:c r="I5" s="158" t="str">
        <x:f t="shared" si="1"/>
        <x:v>all-navy</x:v>
      </x:c>
      <x:c r="J5" s="158" t="str">
        <x:f t="shared" si="2"/>
        <x:v>all-red</x:v>
      </x:c>
      <x:c r="K5" s="158" t="str">
        <x:f t="shared" si="2"/>
        <x:v>all-red</x:v>
      </x:c>
      <x:c r="L5" s="158" t="str">
        <x:f>""</x:f>
      </x:c>
      <x:c r="M5" s="158" t="str">
        <x:f>""</x:f>
      </x:c>
      <x:c r="N5" s="158" t="n">
        <x:f>'Live Leaderboard'!E20</x:f>
        <x:v>0</x:v>
      </x:c>
      <x:c r="O5" s="158" t="str">
        <x:f>IF(OR('Live Leaderboard'!D20="",'Live Leaderboard'!D20=0),"",IF(LOWER('Live Leaderboard'!D20)="navy","navy",IF(LOWER('Live Leaderboard'!D20)="red","red","halved")))</x:f>
      </x:c>
      <x:c r="P5" s="156" t="n">
        <x:f>'Live Leaderboard'!H20</x:f>
        <x:v>0</x:v>
      </x:c>
      <x:c r="Q5" s="156" t="n">
        <x:f>'Live Leaderboard'!G20</x:f>
        <x:v>0</x:v>
      </x:c>
      <x:c r="R5" s="156" t="n">
        <x:f>'Live Leaderboard'!C20</x:f>
        <x:v>1</x:v>
      </x:c>
    </x:row>
    <x:row r="6" ht="13.5">
      <x:c r="A6" s="17" t="str">
        <x:f>"drinking-4"</x:f>
        <x:v>drinking-4</x:v>
      </x:c>
      <x:c r="B6" s="17" t="str">
        <x:f>"cyder-cup-2026"</x:f>
        <x:v>cyder-cup-2026</x:v>
      </x:c>
      <x:c r="C6" s="17" t="str">
        <x:f t="shared" si="0"/>
        <x:v>session-1</x:v>
      </x:c>
      <x:c r="D6" s="17" t="n">
        <x:f>5</x:f>
        <x:v>5</x:v>
      </x:c>
      <x:c r="E6" s="17" t="str">
        <x:f>"Drinking Games #4"</x:f>
        <x:v>Drinking Games #4</x:v>
      </x:c>
      <x:c r="F6" s="17" t="str">
        <x:f>"drinking-game"</x:f>
        <x:v>drinking-game</x:v>
      </x:c>
      <x:c r="G6" s="17" t="str">
        <x:f>'Live Leaderboard'!F21</x:f>
        <x:v>Not Started</x:v>
      </x:c>
      <x:c r="H6" s="17" t="str">
        <x:f t="shared" si="1"/>
        <x:v>all-navy</x:v>
      </x:c>
      <x:c r="I6" s="17" t="str">
        <x:f t="shared" si="1"/>
        <x:v>all-navy</x:v>
      </x:c>
      <x:c r="J6" s="17" t="str">
        <x:f t="shared" si="2"/>
        <x:v>all-red</x:v>
      </x:c>
      <x:c r="K6" s="17" t="str">
        <x:f t="shared" si="2"/>
        <x:v>all-red</x:v>
      </x:c>
      <x:c r="L6" s="17" t="str">
        <x:f>""</x:f>
      </x:c>
      <x:c r="M6" s="17" t="str">
        <x:f>""</x:f>
      </x:c>
      <x:c r="N6" s="17" t="n">
        <x:f>'Live Leaderboard'!E21</x:f>
        <x:v>0</x:v>
      </x:c>
      <x:c r="O6" s="17" t="str">
        <x:f>IF(OR('Live Leaderboard'!D21="",'Live Leaderboard'!D21=0),"",IF(LOWER('Live Leaderboard'!D21)="navy","navy",IF(LOWER('Live Leaderboard'!D21)="red","red","halved")))</x:f>
      </x:c>
      <x:c r="P6" s="156" t="n">
        <x:f>'Live Leaderboard'!H21</x:f>
        <x:v>0</x:v>
      </x:c>
      <x:c r="Q6" s="156" t="n">
        <x:f>'Live Leaderboard'!G21</x:f>
        <x:v>0</x:v>
      </x:c>
      <x:c r="R6" s="156" t="n">
        <x:f>'Live Leaderboard'!C21</x:f>
        <x:v>1</x:v>
      </x:c>
    </x:row>
    <x:row r="7" ht="13.5">
      <x:c r="A7" s="159" t="str">
        <x:f>"drinking-5"</x:f>
        <x:v>drinking-5</x:v>
      </x:c>
      <x:c r="B7" s="159" t="str">
        <x:f t="shared" ref="B7:B14" si="3">"cyder-cup-2026"</x:f>
        <x:v>cyder-cup-2026</x:v>
      </x:c>
      <x:c r="C7" s="159" t="str">
        <x:f t="shared" si="0"/>
        <x:v>session-1</x:v>
      </x:c>
      <x:c r="D7" s="159" t="n">
        <x:f>6</x:f>
        <x:v>6</x:v>
      </x:c>
      <x:c r="E7" s="159" t="str">
        <x:f>"Drinking Games #5"</x:f>
        <x:v>Drinking Games #5</x:v>
      </x:c>
      <x:c r="F7" s="160" t="str">
        <x:f>"drinking-game"</x:f>
        <x:v>drinking-game</x:v>
      </x:c>
      <x:c r="G7" s="159" t="str">
        <x:f>'Live Leaderboard'!F22</x:f>
        <x:v>Not Started</x:v>
      </x:c>
      <x:c r="H7" s="159" t="str">
        <x:f t="shared" si="1"/>
        <x:v>all-navy</x:v>
      </x:c>
      <x:c r="I7" s="159" t="str">
        <x:f t="shared" si="1"/>
        <x:v>all-navy</x:v>
      </x:c>
      <x:c r="J7" s="159" t="str">
        <x:f t="shared" si="2"/>
        <x:v>all-red</x:v>
      </x:c>
      <x:c r="K7" s="159" t="str">
        <x:f t="shared" si="2"/>
        <x:v>all-red</x:v>
      </x:c>
      <x:c r="L7" s="159" t="str">
        <x:f>""</x:f>
      </x:c>
      <x:c r="M7" s="159" t="str">
        <x:f>""</x:f>
      </x:c>
      <x:c r="N7" s="160" t="n">
        <x:f>'Live Leaderboard'!E22</x:f>
        <x:v>0</x:v>
      </x:c>
      <x:c r="O7" s="160" t="str">
        <x:f>IF(OR('Live Leaderboard'!D22="",'Live Leaderboard'!D22=0),"",IF(LOWER('Live Leaderboard'!D22)="navy","navy",IF(LOWER('Live Leaderboard'!D22)="red","red","halved")))</x:f>
      </x:c>
      <x:c r="P7" s="156" t="n">
        <x:f>'Live Leaderboard'!H22</x:f>
        <x:v>0</x:v>
      </x:c>
      <x:c r="Q7" s="156" t="n">
        <x:f>'Live Leaderboard'!G22</x:f>
        <x:v>0</x:v>
      </x:c>
      <x:c r="R7" s="156" t="n">
        <x:f>'Live Leaderboard'!C22</x:f>
        <x:v>1</x:v>
      </x:c>
    </x:row>
    <x:row r="8" ht="13.5">
      <x:c r="A8" s="161" t="str">
        <x:f>"fourball-1"</x:f>
        <x:v>fourball-1</x:v>
      </x:c>
      <x:c r="B8" s="161" t="str">
        <x:f t="shared" si="3"/>
        <x:v>cyder-cup-2026</x:v>
      </x:c>
      <x:c r="C8" s="161" t="str">
        <x:f>"session-2"</x:f>
        <x:v>session-2</x:v>
      </x:c>
      <x:c r="D8" s="161" t="n">
        <x:f>1</x:f>
        <x:v>1</x:v>
      </x:c>
      <x:c r="E8" s="161" t="str">
        <x:f>"Fourball #1"</x:f>
        <x:v>Fourball #1</x:v>
      </x:c>
      <x:c r="F8" s="162" t="str">
        <x:f>"fourball"</x:f>
        <x:v>fourball</x:v>
      </x:c>
      <x:c r="G8" s="161" t="str">
        <x:f>'Live Leaderboard'!J27</x:f>
        <x:v>Not Started</x:v>
      </x:c>
      <x:c r="H8" s="161" t="str">
        <x:f>IF('Live Leaderboard'!F27="","",IFERROR(INDEX('Player Stats'!$A$5:$A$12,MATCH('Live Leaderboard'!F27,'Player Stats'!$B$5:$B$12,0)),""))</x:f>
        <x:v>navy-jj</x:v>
      </x:c>
      <x:c r="I8" s="161" t="str">
        <x:f>IF('Live Leaderboard'!G27="","",IFERROR(INDEX('Player Stats'!$A$5:$A$12,MATCH('Live Leaderboard'!G27,'Player Stats'!$B$5:$B$12,0)),""))</x:f>
        <x:v>navy-eric</x:v>
      </x:c>
      <x:c r="J8" s="161" t="str">
        <x:f>IF('Live Leaderboard'!D27="","",IFERROR(INDEX('Player Stats'!$A$5:$A$12,MATCH('Live Leaderboard'!D27,'Player Stats'!$B$5:$B$12,0)),""))</x:f>
        <x:v>red-kevin</x:v>
      </x:c>
      <x:c r="K8" s="161" t="str">
        <x:f>IF('Live Leaderboard'!E27="","",IFERROR(INDEX('Player Stats'!$A$5:$A$12,MATCH('Live Leaderboard'!E27,'Player Stats'!$B$5:$B$12,0)),""))</x:f>
        <x:v>red-sam</x:v>
      </x:c>
      <x:c r="L8" s="161" t="str">
        <x:f>""</x:f>
      </x:c>
      <x:c r="M8" s="161" t="str">
        <x:f>""</x:f>
      </x:c>
      <x:c r="N8" s="162" t="n">
        <x:f>'Live Leaderboard'!I27</x:f>
        <x:v>0</x:v>
      </x:c>
      <x:c r="O8" s="162" t="str">
        <x:f>IF(OR('Live Leaderboard'!H27="",'Live Leaderboard'!H27=0),"",IF(LOWER('Live Leaderboard'!H27)="navy","navy",IF(LOWER('Live Leaderboard'!H27)="red","red","halved")))</x:f>
      </x:c>
      <x:c r="P8" s="156" t="n">
        <x:f>'Live Leaderboard'!L28+'Live Leaderboard'!L29+'Live Leaderboard'!L30</x:f>
        <x:v>0</x:v>
      </x:c>
      <x:c r="Q8" s="156" t="n">
        <x:f>'Live Leaderboard'!K28+'Live Leaderboard'!K29+'Live Leaderboard'!K30</x:f>
        <x:v>0</x:v>
      </x:c>
      <x:c r="R8" s="156" t="n">
        <x:f>'Live Leaderboard'!C28+'Live Leaderboard'!C29+'Live Leaderboard'!C30</x:f>
        <x:v>3</x:v>
      </x:c>
    </x:row>
    <x:row r="9" ht="13.5">
      <x:c r="A9" s="159" t="str">
        <x:f>"fourball-2"</x:f>
        <x:v>fourball-2</x:v>
      </x:c>
      <x:c r="B9" s="159" t="str">
        <x:f t="shared" si="3"/>
        <x:v>cyder-cup-2026</x:v>
      </x:c>
      <x:c r="C9" s="159" t="str">
        <x:f>"session-2"</x:f>
        <x:v>session-2</x:v>
      </x:c>
      <x:c r="D9" s="159" t="n">
        <x:f>2</x:f>
        <x:v>2</x:v>
      </x:c>
      <x:c r="E9" s="159" t="str">
        <x:f>"Fourball #2"</x:f>
        <x:v>Fourball #2</x:v>
      </x:c>
      <x:c r="F9" s="160" t="str">
        <x:f>"fourball"</x:f>
        <x:v>fourball</x:v>
      </x:c>
      <x:c r="G9" s="159" t="str">
        <x:f>'Live Leaderboard'!J32</x:f>
        <x:v>Not Started</x:v>
      </x:c>
      <x:c r="H9" s="159" t="str">
        <x:f>IF('Live Leaderboard'!F32="","",IFERROR(INDEX('Player Stats'!$A$5:$A$12,MATCH('Live Leaderboard'!F32,'Player Stats'!$B$5:$B$12,0)),""))</x:f>
        <x:v>navy-steven</x:v>
      </x:c>
      <x:c r="I9" s="159" t="str">
        <x:f>IF('Live Leaderboard'!G32="","",IFERROR(INDEX('Player Stats'!$A$5:$A$12,MATCH('Live Leaderboard'!G32,'Player Stats'!$B$5:$B$12,0)),""))</x:f>
        <x:v>navy-george</x:v>
      </x:c>
      <x:c r="J9" s="159" t="str">
        <x:f>IF('Live Leaderboard'!D32="","",IFERROR(INDEX('Player Stats'!$A$5:$A$12,MATCH('Live Leaderboard'!D32,'Player Stats'!$B$5:$B$12,0)),""))</x:f>
        <x:v>red-sean</x:v>
      </x:c>
      <x:c r="K9" s="159" t="str">
        <x:f>IF('Live Leaderboard'!E32="","",IFERROR(INDEX('Player Stats'!$A$5:$A$12,MATCH('Live Leaderboard'!E32,'Player Stats'!$B$5:$B$12,0)),""))</x:f>
        <x:v>red-dylan</x:v>
      </x:c>
      <x:c r="L9" s="159" t="str">
        <x:f>""</x:f>
      </x:c>
      <x:c r="M9" s="159" t="str">
        <x:f>""</x:f>
      </x:c>
      <x:c r="N9" s="160" t="n">
        <x:f>'Live Leaderboard'!I32</x:f>
        <x:v>0</x:v>
      </x:c>
      <x:c r="O9" s="160" t="str">
        <x:f>IF(OR('Live Leaderboard'!H32="",'Live Leaderboard'!H32=0),"",IF(LOWER('Live Leaderboard'!H32)="navy","navy",IF(LOWER('Live Leaderboard'!H32)="red","red","halved")))</x:f>
      </x:c>
      <x:c r="P9" s="156" t="n">
        <x:f>'Live Leaderboard'!L33+'Live Leaderboard'!L34+'Live Leaderboard'!L35</x:f>
        <x:v>0</x:v>
      </x:c>
      <x:c r="Q9" s="156" t="n">
        <x:f>'Live Leaderboard'!K33+'Live Leaderboard'!K34+'Live Leaderboard'!K35</x:f>
        <x:v>0</x:v>
      </x:c>
      <x:c r="R9" s="156" t="n">
        <x:f>'Live Leaderboard'!C33+'Live Leaderboard'!C34+'Live Leaderboard'!C35</x:f>
        <x:v>3</x:v>
      </x:c>
    </x:row>
    <x:row r="10" ht="13.5">
      <x:c r="A10" s="161" t="str">
        <x:f>"singles-1"</x:f>
        <x:v>singles-1</x:v>
      </x:c>
      <x:c r="B10" s="161" t="str">
        <x:f t="shared" si="3"/>
        <x:v>cyder-cup-2026</x:v>
      </x:c>
      <x:c r="C10" s="161" t="str">
        <x:f>"session-3"</x:f>
        <x:v>session-3</x:v>
      </x:c>
      <x:c r="D10" s="161" t="n">
        <x:f>1</x:f>
        <x:v>1</x:v>
      </x:c>
      <x:c r="E10" s="161" t="str">
        <x:f>"Singles #1"</x:f>
        <x:v>Singles #1</x:v>
      </x:c>
      <x:c r="F10" s="162" t="str">
        <x:f>"singles"</x:f>
        <x:v>singles</x:v>
      </x:c>
      <x:c r="G10" s="161" t="str">
        <x:f>'Live Leaderboard'!J37</x:f>
        <x:v>Not Started</x:v>
      </x:c>
      <x:c r="H10" s="161" t="str">
        <x:f>IF('Live Leaderboard'!F37="","",IFERROR(INDEX('Player Stats'!$A$5:$A$12,MATCH('Live Leaderboard'!F37,'Player Stats'!$B$5:$B$12,0)),""))</x:f>
        <x:v>navy-jj</x:v>
      </x:c>
      <x:c r="I10" s="161" t="str">
        <x:f>""</x:f>
      </x:c>
      <x:c r="J10" s="161" t="str">
        <x:f>IF('Live Leaderboard'!D37="","",IFERROR(INDEX('Player Stats'!$A$5:$A$12,MATCH('Live Leaderboard'!D37,'Player Stats'!$B$5:$B$12,0)),""))</x:f>
        <x:v>red-sam</x:v>
      </x:c>
      <x:c r="K10" s="161" t="str">
        <x:f>""</x:f>
      </x:c>
      <x:c r="L10" s="161" t="str">
        <x:f>""</x:f>
      </x:c>
      <x:c r="M10" s="161" t="str">
        <x:f>""</x:f>
      </x:c>
      <x:c r="N10" s="162" t="n">
        <x:f>'Live Leaderboard'!I37</x:f>
        <x:v>0</x:v>
      </x:c>
      <x:c r="O10" s="162" t="str">
        <x:f>IF(OR('Live Leaderboard'!H37="",'Live Leaderboard'!H37=0),"",IF(LOWER('Live Leaderboard'!H37)="navy","navy",IF(LOWER('Live Leaderboard'!H37)="red","red","halved")))</x:f>
      </x:c>
      <x:c r="P10" s="156" t="n">
        <x:f>'Live Leaderboard'!L38+'Live Leaderboard'!L39+'Live Leaderboard'!L40</x:f>
        <x:v>0</x:v>
      </x:c>
      <x:c r="Q10" s="156" t="n">
        <x:f>'Live Leaderboard'!K38+'Live Leaderboard'!K39+'Live Leaderboard'!K40</x:f>
        <x:v>0</x:v>
      </x:c>
      <x:c r="R10" s="156" t="n">
        <x:f>'Live Leaderboard'!C38+'Live Leaderboard'!C39+'Live Leaderboard'!C40</x:f>
        <x:v>4</x:v>
      </x:c>
    </x:row>
    <x:row r="11" ht="13.5">
      <x:c r="A11" s="159" t="str">
        <x:f>"singles-2"</x:f>
        <x:v>singles-2</x:v>
      </x:c>
      <x:c r="B11" s="159" t="str">
        <x:f t="shared" si="3"/>
        <x:v>cyder-cup-2026</x:v>
      </x:c>
      <x:c r="C11" s="159" t="str">
        <x:f>"session-3"</x:f>
        <x:v>session-3</x:v>
      </x:c>
      <x:c r="D11" s="159" t="n">
        <x:f>2</x:f>
        <x:v>2</x:v>
      </x:c>
      <x:c r="E11" s="159" t="str">
        <x:f>"Singles #2"</x:f>
        <x:v>Singles #2</x:v>
      </x:c>
      <x:c r="F11" s="160" t="str">
        <x:f>"singles"</x:f>
        <x:v>singles</x:v>
      </x:c>
      <x:c r="G11" s="159" t="str">
        <x:f>'Live Leaderboard'!J42</x:f>
        <x:v>Not Started</x:v>
      </x:c>
      <x:c r="H11" s="159" t="str">
        <x:f>IF('Live Leaderboard'!F42="","",IFERROR(INDEX('Player Stats'!$A$5:$A$12,MATCH('Live Leaderboard'!F42,'Player Stats'!$B$5:$B$12,0)),""))</x:f>
        <x:v>navy-steven</x:v>
      </x:c>
      <x:c r="I11" s="159" t="str">
        <x:f>""</x:f>
      </x:c>
      <x:c r="J11" s="159" t="str">
        <x:f>IF('Live Leaderboard'!D42="","",IFERROR(INDEX('Player Stats'!$A$5:$A$12,MATCH('Live Leaderboard'!D42,'Player Stats'!$B$5:$B$12,0)),""))</x:f>
        <x:v>red-kevin</x:v>
      </x:c>
      <x:c r="K11" s="159" t="str">
        <x:f>""</x:f>
      </x:c>
      <x:c r="L11" s="159" t="str">
        <x:f>""</x:f>
      </x:c>
      <x:c r="M11" s="159" t="str">
        <x:f>""</x:f>
      </x:c>
      <x:c r="N11" s="160" t="n">
        <x:f>'Live Leaderboard'!I42</x:f>
        <x:v>0</x:v>
      </x:c>
      <x:c r="O11" s="160" t="str">
        <x:f>IF(OR('Live Leaderboard'!H42="",'Live Leaderboard'!H42=0),"",IF(LOWER('Live Leaderboard'!H42)="navy","navy",IF(LOWER('Live Leaderboard'!H42)="red","red","halved")))</x:f>
      </x:c>
      <x:c r="P11" s="156" t="n">
        <x:f>'Live Leaderboard'!L43+'Live Leaderboard'!L44+'Live Leaderboard'!L45</x:f>
        <x:v>0</x:v>
      </x:c>
      <x:c r="Q11" s="156" t="n">
        <x:f>'Live Leaderboard'!K43+'Live Leaderboard'!K44+'Live Leaderboard'!K45</x:f>
        <x:v>0</x:v>
      </x:c>
      <x:c r="R11" s="156" t="n">
        <x:f>'Live Leaderboard'!C43+'Live Leaderboard'!C44+'Live Leaderboard'!C45</x:f>
        <x:v>4</x:v>
      </x:c>
    </x:row>
    <x:row r="12" ht="13.5">
      <x:c r="A12" s="161" t="str">
        <x:f>"singles-3"</x:f>
        <x:v>singles-3</x:v>
      </x:c>
      <x:c r="B12" s="161" t="str">
        <x:f t="shared" si="3"/>
        <x:v>cyder-cup-2026</x:v>
      </x:c>
      <x:c r="C12" s="161" t="str">
        <x:f>"session-3"</x:f>
        <x:v>session-3</x:v>
      </x:c>
      <x:c r="D12" s="161" t="n">
        <x:f>3</x:f>
        <x:v>3</x:v>
      </x:c>
      <x:c r="E12" s="161" t="str">
        <x:f>"Singles #3"</x:f>
        <x:v>Singles #3</x:v>
      </x:c>
      <x:c r="F12" s="162" t="str">
        <x:f>"singles"</x:f>
        <x:v>singles</x:v>
      </x:c>
      <x:c r="G12" s="161" t="str">
        <x:f>'Live Leaderboard'!J47</x:f>
        <x:v>Not Started</x:v>
      </x:c>
      <x:c r="H12" s="161" t="str">
        <x:f>IF('Live Leaderboard'!F47="","",IFERROR(INDEX('Player Stats'!$A$5:$A$12,MATCH('Live Leaderboard'!F47,'Player Stats'!$B$5:$B$12,0)),""))</x:f>
        <x:v>navy-george</x:v>
      </x:c>
      <x:c r="I12" s="161" t="str">
        <x:f>""</x:f>
      </x:c>
      <x:c r="J12" s="161" t="str">
        <x:f>IF('Live Leaderboard'!D47="","",IFERROR(INDEX('Player Stats'!$A$5:$A$12,MATCH('Live Leaderboard'!D47,'Player Stats'!$B$5:$B$12,0)),""))</x:f>
        <x:v>red-sean</x:v>
      </x:c>
      <x:c r="K12" s="161" t="str">
        <x:f>""</x:f>
      </x:c>
      <x:c r="L12" s="161" t="str">
        <x:f>""</x:f>
      </x:c>
      <x:c r="M12" s="161" t="str">
        <x:f>""</x:f>
      </x:c>
      <x:c r="N12" s="162" t="n">
        <x:f>'Live Leaderboard'!I47</x:f>
        <x:v>0</x:v>
      </x:c>
      <x:c r="O12" s="162" t="str">
        <x:f>IF(OR('Live Leaderboard'!H47="",'Live Leaderboard'!H47=0),"",IF(LOWER('Live Leaderboard'!H47)="navy","navy",IF(LOWER('Live Leaderboard'!H47)="red","red","halved")))</x:f>
      </x:c>
      <x:c r="P12" s="156" t="n">
        <x:f>'Live Leaderboard'!L48+'Live Leaderboard'!L49+'Live Leaderboard'!L50</x:f>
        <x:v>0</x:v>
      </x:c>
      <x:c r="Q12" s="156" t="n">
        <x:f>'Live Leaderboard'!K48+'Live Leaderboard'!K49+'Live Leaderboard'!K50</x:f>
        <x:v>0</x:v>
      </x:c>
      <x:c r="R12" s="156" t="n">
        <x:f>'Live Leaderboard'!C48+'Live Leaderboard'!C49+'Live Leaderboard'!C50</x:f>
        <x:v>4</x:v>
      </x:c>
    </x:row>
    <x:row r="13" ht="13.5">
      <x:c r="A13" s="159" t="str">
        <x:f>"singles-4"</x:f>
        <x:v>singles-4</x:v>
      </x:c>
      <x:c r="B13" s="159" t="str">
        <x:f t="shared" si="3"/>
        <x:v>cyder-cup-2026</x:v>
      </x:c>
      <x:c r="C13" s="159" t="str">
        <x:f>"session-3"</x:f>
        <x:v>session-3</x:v>
      </x:c>
      <x:c r="D13" s="159" t="n">
        <x:f>4</x:f>
        <x:v>4</x:v>
      </x:c>
      <x:c r="E13" s="159" t="str">
        <x:f>"Singles #4"</x:f>
        <x:v>Singles #4</x:v>
      </x:c>
      <x:c r="F13" s="160" t="str">
        <x:f>"singles"</x:f>
        <x:v>singles</x:v>
      </x:c>
      <x:c r="G13" s="159" t="str">
        <x:f>'Live Leaderboard'!J52</x:f>
        <x:v>Not Started</x:v>
      </x:c>
      <x:c r="H13" s="159" t="str">
        <x:f>IF('Live Leaderboard'!F52="","",IFERROR(INDEX('Player Stats'!$A$5:$A$12,MATCH('Live Leaderboard'!F52,'Player Stats'!$B$5:$B$12,0)),""))</x:f>
        <x:v>navy-eric</x:v>
      </x:c>
      <x:c r="I13" s="159" t="str">
        <x:f>""</x:f>
      </x:c>
      <x:c r="J13" s="159" t="str">
        <x:f>IF('Live Leaderboard'!D52="","",IFERROR(INDEX('Player Stats'!$A$5:$A$12,MATCH('Live Leaderboard'!D52,'Player Stats'!$B$5:$B$12,0)),""))</x:f>
        <x:v>red-dylan</x:v>
      </x:c>
      <x:c r="K13" s="159" t="str">
        <x:f>""</x:f>
      </x:c>
      <x:c r="L13" s="159" t="str">
        <x:f>""</x:f>
      </x:c>
      <x:c r="M13" s="159" t="str">
        <x:f>""</x:f>
      </x:c>
      <x:c r="N13" s="160" t="n">
        <x:f>'Live Leaderboard'!I52</x:f>
        <x:v>0</x:v>
      </x:c>
      <x:c r="O13" s="160" t="str">
        <x:f>IF(OR('Live Leaderboard'!H52="",'Live Leaderboard'!H52=0),"",IF(LOWER('Live Leaderboard'!H52)="navy","navy",IF(LOWER('Live Leaderboard'!H52)="red","red","halved")))</x:f>
      </x:c>
      <x:c r="P13" s="156" t="n">
        <x:f>'Live Leaderboard'!L53+'Live Leaderboard'!L54+'Live Leaderboard'!L55</x:f>
        <x:v>0</x:v>
      </x:c>
      <x:c r="Q13" s="156" t="n">
        <x:f>'Live Leaderboard'!K53+'Live Leaderboard'!K54+'Live Leaderboard'!K55</x:f>
        <x:v>0</x:v>
      </x:c>
      <x:c r="R13" s="156" t="n">
        <x:f>'Live Leaderboard'!C53+'Live Leaderboard'!C54+'Live Leaderboard'!C55</x:f>
        <x:v>4</x:v>
      </x:c>
    </x:row>
    <x:row r="14" ht="13.5">
      <x:c r="A14" s="6"/>
      <x:c r="B14" s="6" t="str">
        <x:f t="shared" si="3"/>
        <x:v>cyder-cup-2026</x:v>
      </x:c>
      <x:c r="C14" s="6"/>
      <x:c r="D14" s="6"/>
      <x:c r="E14" s="6"/>
      <x:c r="F14" s="7"/>
      <x:c r="G14" s="6"/>
      <x:c r="H14" s="6"/>
      <x:c r="I14" s="6"/>
      <x:c r="J14" s="6"/>
      <x:c r="K14" s="6"/>
      <x:c r="L14" s="6"/>
      <x:c r="M14" s="6"/>
      <x:c r="N14" s="7"/>
      <x:c r="O14" s="7"/>
    </x:row>
    <x:row r="15" ht="13.5">
      <x:c r="A15" s="8"/>
      <x:c r="B15" s="8"/>
      <x:c r="C15" s="8"/>
      <x:c r="D15" s="8"/>
      <x:c r="E15" s="8"/>
      <x:c r="F15" s="9"/>
      <x:c r="G15" s="8"/>
      <x:c r="H15" s="8"/>
      <x:c r="I15" s="8"/>
      <x:c r="J15" s="8"/>
      <x:c r="K15" s="8"/>
      <x:c r="L15" s="8"/>
      <x:c r="M15" s="8"/>
      <x:c r="N15" s="9"/>
      <x:c r="O15" s="9"/>
    </x:row>
    <x:row r="16" ht="13.5">
      <x:c r="A16" s="6"/>
      <x:c r="B16" s="6"/>
      <x:c r="C16" s="6"/>
      <x:c r="D16" s="6"/>
      <x:c r="E16" s="6"/>
      <x:c r="F16" s="7"/>
      <x:c r="G16" s="6"/>
      <x:c r="H16" s="6"/>
      <x:c r="I16" s="6"/>
      <x:c r="J16" s="6"/>
      <x:c r="K16" s="6"/>
      <x:c r="L16" s="6"/>
      <x:c r="M16" s="6"/>
      <x:c r="N16" s="7"/>
      <x:c r="O16" s="7"/>
    </x:row>
    <x:row r="17" ht="13.5">
      <x:c r="A17" s="8"/>
      <x:c r="B17" s="8"/>
      <x:c r="C17" s="8"/>
      <x:c r="D17" s="8"/>
      <x:c r="E17" s="8"/>
      <x:c r="F17" s="9"/>
      <x:c r="G17" s="8"/>
      <x:c r="H17" s="8"/>
      <x:c r="I17" s="8"/>
      <x:c r="J17" s="8"/>
      <x:c r="K17" s="8"/>
      <x:c r="L17" s="8"/>
      <x:c r="M17" s="8"/>
      <x:c r="N17" s="9"/>
      <x:c r="O17" s="9"/>
    </x:row>
    <x:row r="18" ht="13.5">
      <x:c r="A18" s="6"/>
      <x:c r="B18" s="6"/>
      <x:c r="C18" s="6"/>
      <x:c r="D18" s="6"/>
      <x:c r="E18" s="6"/>
      <x:c r="F18" s="7"/>
      <x:c r="G18" s="6"/>
      <x:c r="H18" s="6"/>
      <x:c r="I18" s="6"/>
      <x:c r="J18" s="6"/>
      <x:c r="K18" s="6"/>
      <x:c r="L18" s="6"/>
      <x:c r="M18" s="6"/>
      <x:c r="N18" s="7"/>
      <x:c r="O18" s="7"/>
    </x:row>
    <x:row r="19" ht="13.5">
      <x:c r="A19" s="8"/>
      <x:c r="B19" s="8"/>
      <x:c r="C19" s="8"/>
      <x:c r="D19" s="8"/>
      <x:c r="E19" s="8"/>
      <x:c r="F19" s="9"/>
      <x:c r="G19" s="8"/>
      <x:c r="H19" s="8"/>
      <x:c r="I19" s="8"/>
      <x:c r="J19" s="8"/>
      <x:c r="K19" s="8"/>
      <x:c r="L19" s="8"/>
      <x:c r="M19" s="8"/>
      <x:c r="N19" s="9"/>
      <x:c r="O19" s="9"/>
    </x:row>
    <x:row r="20" ht="13.5">
      <x:c r="A20" s="6"/>
      <x:c r="B20" s="6"/>
      <x:c r="C20" s="6"/>
      <x:c r="D20" s="6"/>
      <x:c r="E20" s="6"/>
      <x:c r="F20" s="7"/>
      <x:c r="G20" s="6"/>
      <x:c r="H20" s="6"/>
      <x:c r="I20" s="6"/>
      <x:c r="J20" s="6"/>
      <x:c r="K20" s="6"/>
      <x:c r="L20" s="6"/>
      <x:c r="M20" s="6"/>
      <x:c r="N20" s="7"/>
      <x:c r="O20" s="7"/>
    </x:row>
    <x:row r="21" ht="13.5">
      <x:c r="A21" s="8"/>
      <x:c r="B21" s="8"/>
      <x:c r="C21" s="8"/>
      <x:c r="D21" s="8"/>
      <x:c r="E21" s="8"/>
      <x:c r="F21" s="9"/>
      <x:c r="G21" s="8"/>
      <x:c r="H21" s="8"/>
      <x:c r="I21" s="8"/>
      <x:c r="J21" s="8"/>
      <x:c r="K21" s="8"/>
      <x:c r="L21" s="8"/>
      <x:c r="M21" s="8"/>
      <x:c r="N21" s="9"/>
      <x:c r="O21" s="9"/>
    </x:row>
    <x:row r="22" ht="13.5">
      <x:c r="A22" s="6"/>
      <x:c r="B22" s="6"/>
      <x:c r="C22" s="6"/>
      <x:c r="D22" s="6"/>
      <x:c r="E22" s="6"/>
      <x:c r="F22" s="7"/>
      <x:c r="G22" s="6"/>
      <x:c r="H22" s="6"/>
      <x:c r="I22" s="6"/>
      <x:c r="J22" s="6"/>
      <x:c r="K22" s="6"/>
      <x:c r="L22" s="6"/>
      <x:c r="M22" s="6"/>
      <x:c r="N22" s="7"/>
      <x:c r="O22" s="7"/>
    </x:row>
    <x:row r="23" ht="13.5">
      <x:c r="A23" s="8"/>
      <x:c r="B23" s="8"/>
      <x:c r="C23" s="8"/>
      <x:c r="D23" s="8"/>
      <x:c r="E23" s="8"/>
      <x:c r="F23" s="9"/>
      <x:c r="G23" s="8"/>
      <x:c r="H23" s="8"/>
      <x:c r="I23" s="8"/>
      <x:c r="J23" s="8"/>
      <x:c r="K23" s="8"/>
      <x:c r="L23" s="8"/>
      <x:c r="M23" s="8"/>
      <x:c r="N23" s="9"/>
      <x:c r="O23" s="9"/>
    </x:row>
    <x:row r="24" ht="13.5">
      <x:c r="A24" s="6"/>
      <x:c r="B24" s="6"/>
      <x:c r="C24" s="6"/>
      <x:c r="D24" s="6"/>
      <x:c r="E24" s="6"/>
      <x:c r="F24" s="7"/>
      <x:c r="G24" s="6"/>
      <x:c r="H24" s="6"/>
      <x:c r="I24" s="6"/>
      <x:c r="J24" s="6"/>
      <x:c r="K24" s="6"/>
      <x:c r="L24" s="6"/>
      <x:c r="M24" s="6"/>
      <x:c r="N24" s="7"/>
      <x:c r="O24" s="7"/>
    </x:row>
    <x:row r="25" ht="13.5">
      <x:c r="A25" s="8"/>
      <x:c r="B25" s="8"/>
      <x:c r="C25" s="8"/>
      <x:c r="D25" s="8"/>
      <x:c r="E25" s="8"/>
      <x:c r="F25" s="9"/>
      <x:c r="G25" s="8"/>
      <x:c r="H25" s="8"/>
      <x:c r="I25" s="8"/>
      <x:c r="J25" s="8"/>
      <x:c r="K25" s="8"/>
      <x:c r="L25" s="8"/>
      <x:c r="M25" s="8"/>
      <x:c r="N25" s="9"/>
      <x:c r="O25" s="9"/>
    </x:row>
    <x:row r="26" ht="13.5">
      <x:c r="A26" s="6"/>
      <x:c r="B26" s="6"/>
      <x:c r="C26" s="6"/>
      <x:c r="D26" s="6"/>
      <x:c r="E26" s="6"/>
      <x:c r="F26" s="7"/>
      <x:c r="G26" s="6"/>
      <x:c r="H26" s="6"/>
      <x:c r="I26" s="6"/>
      <x:c r="J26" s="6"/>
      <x:c r="K26" s="6"/>
      <x:c r="L26" s="6"/>
      <x:c r="M26" s="6"/>
      <x:c r="N26" s="7"/>
      <x:c r="O26" s="7"/>
    </x:row>
    <x:row r="27" ht="13.5">
      <x:c r="A27" s="8"/>
      <x:c r="B27" s="8"/>
      <x:c r="C27" s="8"/>
      <x:c r="D27" s="8"/>
      <x:c r="E27" s="8"/>
      <x:c r="F27" s="9"/>
      <x:c r="G27" s="8"/>
      <x:c r="H27" s="8"/>
      <x:c r="I27" s="8"/>
      <x:c r="J27" s="8"/>
      <x:c r="K27" s="8"/>
      <x:c r="L27" s="8"/>
      <x:c r="M27" s="8"/>
      <x:c r="N27" s="9"/>
      <x:c r="O27" s="9"/>
    </x:row>
    <x:row r="28" ht="13.5">
      <x:c r="A28" s="6"/>
      <x:c r="B28" s="6"/>
      <x:c r="C28" s="6"/>
      <x:c r="D28" s="6"/>
      <x:c r="E28" s="6"/>
      <x:c r="F28" s="7"/>
      <x:c r="G28" s="6"/>
      <x:c r="H28" s="6"/>
      <x:c r="I28" s="6"/>
      <x:c r="J28" s="6"/>
      <x:c r="K28" s="6"/>
      <x:c r="L28" s="6"/>
      <x:c r="M28" s="6"/>
      <x:c r="N28" s="7"/>
      <x:c r="O28" s="7"/>
    </x:row>
    <x:row r="29" ht="13.5">
      <x:c r="A29" s="8"/>
      <x:c r="B29" s="8"/>
      <x:c r="C29" s="8"/>
      <x:c r="D29" s="8"/>
      <x:c r="E29" s="8"/>
      <x:c r="F29" s="9"/>
      <x:c r="G29" s="8"/>
      <x:c r="H29" s="8"/>
      <x:c r="I29" s="8"/>
      <x:c r="J29" s="8"/>
      <x:c r="K29" s="8"/>
      <x:c r="L29" s="8"/>
      <x:c r="M29" s="8"/>
      <x:c r="N29" s="9"/>
      <x:c r="O29" s="9"/>
    </x:row>
    <x:row r="30" ht="13.5">
      <x:c r="A30" s="6"/>
      <x:c r="B30" s="6"/>
      <x:c r="C30" s="6"/>
      <x:c r="D30" s="6"/>
      <x:c r="E30" s="6"/>
      <x:c r="F30" s="7"/>
      <x:c r="G30" s="6"/>
      <x:c r="H30" s="6"/>
      <x:c r="I30" s="6"/>
      <x:c r="J30" s="6"/>
      <x:c r="K30" s="6"/>
      <x:c r="L30" s="6"/>
      <x:c r="M30" s="6"/>
      <x:c r="N30" s="7"/>
      <x:c r="O30" s="7"/>
    </x:row>
    <x:row r="31" ht="13.5">
      <x:c r="A31" s="8"/>
      <x:c r="B31" s="8"/>
      <x:c r="C31" s="8"/>
      <x:c r="D31" s="8"/>
      <x:c r="E31" s="8"/>
      <x:c r="F31" s="9"/>
      <x:c r="G31" s="8"/>
      <x:c r="H31" s="8"/>
      <x:c r="I31" s="8"/>
      <x:c r="J31" s="8"/>
      <x:c r="K31" s="8"/>
      <x:c r="L31" s="8"/>
      <x:c r="M31" s="8"/>
      <x:c r="N31" s="9"/>
      <x:c r="O31" s="9"/>
    </x:row>
    <x:row r="32" ht="13.5">
      <x:c r="A32" s="29"/>
      <x:c r="B32" s="29"/>
      <x:c r="C32" s="29"/>
      <x:c r="D32" s="29"/>
      <x:c r="E32" s="29"/>
      <x:c r="F32" s="30"/>
      <x:c r="G32" s="29"/>
      <x:c r="H32" s="29"/>
      <x:c r="I32" s="29"/>
      <x:c r="J32" s="29"/>
      <x:c r="K32" s="29"/>
      <x:c r="L32" s="29"/>
      <x:c r="M32" s="29"/>
      <x:c r="N32" s="30"/>
      <x:c r="O32" s="30"/>
    </x:row>
    <x:row r="33" ht="13.5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</x:row>
    <x:row r="34" ht="13.5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</x:row>
    <x:row r="35" ht="13.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</x:row>
    <x:row r="36" ht="13.5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</x:row>
    <x:row r="37" ht="13.5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</x:row>
    <x:row r="38" ht="13.5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</x:row>
    <x:row r="39" ht="13.5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</x:row>
    <x:row r="40" ht="13.5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</x:row>
  </x:sheetData>
  <x:mergeCells>
    <x:mergeCell ref="A1:O2"/>
    <x:mergeCell ref="A4:O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2.75"/>
  <x:cols>
    <x:col min="1" max="1" width="16" customWidth="1"/>
    <x:col min="2" max="3" width="12" customWidth="1"/>
    <x:col min="4" max="4" width="20" customWidth="1"/>
    <x:col min="5" max="5" width="10" customWidth="1"/>
    <x:col min="6" max="6" width="9" customWidth="1"/>
    <x:col min="7" max="7" width="10" customWidth="1"/>
    <x:col min="8" max="8" width="25" customWidth="1"/>
    <x:col min="9" max="9" width="28" customWidth="1"/>
    <x:col min="10" max="10" width="18" customWidth="1"/>
    <x:col min="11" max="11" width="29" customWidth="1"/>
    <x:col min="12" max="12" width="44" customWidth="1"/>
    <x:col min="13" max="17" width="13" customWidth="1"/>
    <x:col min="18" max="18" width="22" customWidth="1"/>
    <x:col min="19" max="19" width="16" customWidth="1"/>
  </x:cols>
  <x:sheetData>
    <x:row r="1" ht="25.5">
      <x:c r="A1" s="145" t="s">
        <x:v>249</x:v>
      </x:c>
      <x:c r="B1" s="145" t="s">
        <x:v>250</x:v>
      </x:c>
      <x:c r="C1" s="145" t="s">
        <x:v>251</x:v>
      </x:c>
      <x:c r="D1" s="145" t="s">
        <x:v>252</x:v>
      </x:c>
      <x:c r="E1" s="145" t="s">
        <x:v>253</x:v>
      </x:c>
      <x:c r="F1" s="145" t="s">
        <x:v>254</x:v>
      </x:c>
      <x:c r="G1" s="145" t="s">
        <x:v>255</x:v>
      </x:c>
      <x:c r="H1" s="145" t="s">
        <x:v>256</x:v>
      </x:c>
      <x:c r="I1" s="145" t="s">
        <x:v>257</x:v>
      </x:c>
      <x:c r="J1" s="145" t="s">
        <x:v>258</x:v>
      </x:c>
      <x:c r="K1" s="145" t="s">
        <x:v>259</x:v>
      </x:c>
      <x:c r="L1" s="145" t="s">
        <x:v>260</x:v>
      </x:c>
      <x:c r="M1" s="145" t="s">
        <x:v>261</x:v>
      </x:c>
      <x:c r="N1" s="145" t="s">
        <x:v>262</x:v>
      </x:c>
      <x:c r="O1" s="145" t="s">
        <x:v>263</x:v>
      </x:c>
      <x:c r="P1" s="145" t="s">
        <x:v>264</x:v>
      </x:c>
      <x:c r="Q1" s="145" t="s">
        <x:v>265</x:v>
      </x:c>
      <x:c r="R1" s="145" t="s">
        <x:v>266</x:v>
      </x:c>
      <x:c r="S1" s="145" t="s">
        <x:v>267</x:v>
      </x:c>
    </x:row>
    <x:row r="2" ht="38.25">
      <x:c r="A2" s="148" t="str">
        <x:f>'Player Stats'!A5</x:f>
        <x:v>red-sam</x:v>
      </x:c>
      <x:c r="B2" s="148" t="str">
        <x:f>'Player Stats'!M5</x:f>
        <x:v>Sam</x:v>
      </x:c>
      <x:c r="C2" s="148" t="str">
        <x:f>'Player Stats'!N5</x:f>
        <x:v>Griffiths</x:v>
      </x:c>
      <x:c r="D2" s="148" t="str">
        <x:f>'Player Stats'!B5</x:f>
        <x:v>Sam Griffiths</x:v>
      </x:c>
      <x:c r="E2" s="148" t="str">
        <x:f>LOWER('Player Stats'!C5)</x:f>
        <x:v>red</x:v>
      </x:c>
      <x:c r="F2" s="148" t="b">
        <x:f>IF('Player Stats'!D5="Yes",TRUE,FALSE)</x:f>
        <x:v>1</x:v>
      </x:c>
      <x:c r="G2" s="150" t="n">
        <x:f>'Player Stats'!O5</x:f>
        <x:v>13</x:v>
      </x:c>
      <x:c r="H2" s="148" t="str">
        <x:f>'Player Stats'!P5</x:f>
        <x:v>North Vancouver, British Columbia</x:v>
      </x:c>
      <x:c r="I2" s="148" t="str">
        <x:f>'Player Stats'!Q5</x:f>
        <x:v>Sunningdale Golf Club</x:v>
      </x:c>
      <x:c r="J2" s="148" t="str">
        <x:f>'Player Stats'!R5</x:f>
        <x:v>Guinness</x:v>
      </x:c>
      <x:c r="K2" s="148" t="str">
        <x:f>'Player Stats'!S5</x:f>
        <x:v>I Don’t Wanna Be – Gavin Degraw</x:v>
      </x:c>
      <x:c r="L2" s="148" t="str">
        <x:f>'Player Stats'!T5</x:f>
        <x:v>Sam is from North Vancouver, British Columbia and plays out of Sunningdale Golf Club. Current handicap: 13.</x:v>
      </x:c>
      <x:c r="M2" s="150" t="n">
        <x:f>'Player Stats'!E5</x:f>
        <x:v>8</x:v>
      </x:c>
      <x:c r="N2" s="150" t="n">
        <x:f>'Player Stats'!F5</x:f>
        <x:v>6</x:v>
      </x:c>
      <x:c r="O2" s="150" t="n">
        <x:f>'Player Stats'!G5</x:f>
        <x:v>1</x:v>
      </x:c>
      <x:c r="P2" s="150" t="n">
        <x:f>'Player Stats'!H5</x:f>
        <x:v>15</x:v>
      </x:c>
      <x:c r="Q2" s="150" t="n">
        <x:f>'Player Stats'!E5+'Player Stats'!G5*0.5</x:f>
        <x:v>8.5</x:v>
      </x:c>
      <x:c r="R2" s="152" t="n">
        <x:f>'Player Stats'!I5</x:f>
        <x:v>0.5666666666666667</x:v>
      </x:c>
      <x:c r="S2" s="148" t="str">
        <x:f>'Player Stats'!U5</x:f>
        <x:v>red-sam</x:v>
      </x:c>
    </x:row>
    <x:row r="3" ht="38.25">
      <x:c r="A3" s="148" t="str">
        <x:f>'Player Stats'!A6</x:f>
        <x:v>red-kevin</x:v>
      </x:c>
      <x:c r="B3" s="148" t="str">
        <x:f>'Player Stats'!M6</x:f>
        <x:v>Kevin</x:v>
      </x:c>
      <x:c r="C3" s="148" t="str">
        <x:f>'Player Stats'!N6</x:f>
        <x:v>Catliff</x:v>
      </x:c>
      <x:c r="D3" s="148" t="str">
        <x:f>'Player Stats'!B6</x:f>
        <x:v>Kevin Catliff</x:v>
      </x:c>
      <x:c r="E3" s="148" t="str">
        <x:f>LOWER('Player Stats'!C6)</x:f>
        <x:v>red</x:v>
      </x:c>
      <x:c r="F3" s="148" t="b">
        <x:f>IF('Player Stats'!D6="Yes",TRUE,FALSE)</x:f>
        <x:v>1</x:v>
      </x:c>
      <x:c r="G3" s="150" t="n">
        <x:f>'Player Stats'!O6</x:f>
        <x:v>8</x:v>
      </x:c>
      <x:c r="H3" s="148" t="str">
        <x:f>'Player Stats'!P6</x:f>
        <x:v>Vancouver, British Columbia</x:v>
      </x:c>
      <x:c r="I3" s="148" t="str">
        <x:f>'Player Stats'!Q6</x:f>
        <x:v>Bowen Island Golf Club</x:v>
      </x:c>
      <x:c r="J3" s="148" t="str">
        <x:f>'Player Stats'!R6</x:f>
        <x:v>Suntory</x:v>
      </x:c>
      <x:c r="K3" s="148" t="str">
        <x:f>'Player Stats'!S6</x:f>
        <x:v>Heaven Takes You Home - SHM</x:v>
      </x:c>
      <x:c r="L3" s="148" t="str">
        <x:f>'Player Stats'!T6</x:f>
        <x:v>Kevin is from Vancouver, British Columbia and plays out of Bowen Island Golf Club. Current handicap: 8.</x:v>
      </x:c>
      <x:c r="M3" s="150" t="n">
        <x:f>'Player Stats'!E6</x:f>
        <x:v>6</x:v>
      </x:c>
      <x:c r="N3" s="150" t="n">
        <x:f>'Player Stats'!F6</x:f>
        <x:v>8</x:v>
      </x:c>
      <x:c r="O3" s="150" t="n">
        <x:f>'Player Stats'!G6</x:f>
        <x:v>1</x:v>
      </x:c>
      <x:c r="P3" s="150" t="n">
        <x:f>'Player Stats'!H6</x:f>
        <x:v>15</x:v>
      </x:c>
      <x:c r="Q3" s="150" t="n">
        <x:f>'Player Stats'!E6+'Player Stats'!G6*0.5</x:f>
        <x:v>6.5</x:v>
      </x:c>
      <x:c r="R3" s="152" t="n">
        <x:f>'Player Stats'!I6</x:f>
        <x:v>0.43333333333333335</x:v>
      </x:c>
      <x:c r="S3" s="148" t="str">
        <x:f>'Player Stats'!U6</x:f>
        <x:v>red-kevin</x:v>
      </x:c>
    </x:row>
    <x:row r="4" ht="38.25">
      <x:c r="A4" s="148" t="str">
        <x:f>'Player Stats'!A7</x:f>
        <x:v>red-sean</x:v>
      </x:c>
      <x:c r="B4" s="148" t="str">
        <x:f>'Player Stats'!M7</x:f>
        <x:v>Sean</x:v>
      </x:c>
      <x:c r="C4" s="148" t="str">
        <x:f>'Player Stats'!N7</x:f>
        <x:v>Bromley</x:v>
      </x:c>
      <x:c r="D4" s="148" t="str">
        <x:f>'Player Stats'!B7</x:f>
        <x:v>Sean Bromley</x:v>
      </x:c>
      <x:c r="E4" s="148" t="str">
        <x:f>LOWER('Player Stats'!C7)</x:f>
        <x:v>red</x:v>
      </x:c>
      <x:c r="F4" s="148" t="b">
        <x:f>IF('Player Stats'!D7="Yes",TRUE,FALSE)</x:f>
        <x:v>1</x:v>
      </x:c>
      <x:c r="G4" s="150" t="n">
        <x:f>'Player Stats'!O7</x:f>
        <x:v>21</x:v>
      </x:c>
      <x:c r="H4" s="148" t="str">
        <x:f>'Player Stats'!P7</x:f>
        <x:v>Vancouver, British Columbia</x:v>
      </x:c>
      <x:c r="I4" s="148" t="str">
        <x:f>'Player Stats'!Q7</x:f>
        <x:v>Capilano Golf and Country Club</x:v>
      </x:c>
      <x:c r="J4" s="148" t="str">
        <x:f>'Player Stats'!R7</x:f>
        <x:v>Whiskey</x:v>
      </x:c>
      <x:c r="K4" s="148" t="str">
        <x:f>'Player Stats'!S7</x:f>
        <x:v>Beer Never Broke My Heart - Luke Combs</x:v>
      </x:c>
      <x:c r="L4" s="148" t="str">
        <x:f>'Player Stats'!T7</x:f>
        <x:v>Sean is from Vancouver, British Columbia and plays out of Capilano Golf and Country Club. Current handicap: 21.</x:v>
      </x:c>
      <x:c r="M4" s="150" t="n">
        <x:f>'Player Stats'!E7</x:f>
        <x:v>5</x:v>
      </x:c>
      <x:c r="N4" s="150" t="n">
        <x:f>'Player Stats'!F7</x:f>
        <x:v>10</x:v>
      </x:c>
      <x:c r="O4" s="150" t="n">
        <x:f>'Player Stats'!G7</x:f>
        <x:v>0</x:v>
      </x:c>
      <x:c r="P4" s="150" t="n">
        <x:f>'Player Stats'!H7</x:f>
        <x:v>15</x:v>
      </x:c>
      <x:c r="Q4" s="150" t="n">
        <x:f>'Player Stats'!E7+'Player Stats'!G7*0.5</x:f>
        <x:v>5</x:v>
      </x:c>
      <x:c r="R4" s="152" t="n">
        <x:f>'Player Stats'!I7</x:f>
        <x:v>0.3333333333333333</x:v>
      </x:c>
      <x:c r="S4" s="148" t="str">
        <x:f>'Player Stats'!U7</x:f>
        <x:v>red-sean</x:v>
      </x:c>
    </x:row>
    <x:row r="5" ht="38.25">
      <x:c r="A5" s="148" t="str">
        <x:f>'Player Stats'!A8</x:f>
        <x:v>red-dylan</x:v>
      </x:c>
      <x:c r="B5" s="148" t="str">
        <x:f>'Player Stats'!M8</x:f>
        <x:v>Dylan</x:v>
      </x:c>
      <x:c r="C5" s="148" t="str">
        <x:f>'Player Stats'!N8</x:f>
        <x:v>Bradley</x:v>
      </x:c>
      <x:c r="D5" s="148" t="str">
        <x:f>'Player Stats'!B8</x:f>
        <x:v>Dylan Bradley</x:v>
      </x:c>
      <x:c r="E5" s="148" t="str">
        <x:f>LOWER('Player Stats'!C8)</x:f>
        <x:v>red</x:v>
      </x:c>
      <x:c r="F5" s="148" t="b">
        <x:f>IF('Player Stats'!D8="Yes",TRUE,FALSE)</x:f>
        <x:v>1</x:v>
      </x:c>
      <x:c r="G5" s="150" t="n">
        <x:f>'Player Stats'!O8</x:f>
        <x:v>15</x:v>
      </x:c>
      <x:c r="H5" s="148" t="str">
        <x:f>'Player Stats'!P8</x:f>
        <x:v>Pitt Meadows, British Columbia</x:v>
      </x:c>
      <x:c r="I5" s="148" t="str">
        <x:f>'Player Stats'!Q8</x:f>
        <x:v>Pitt Meadows Golf Club</x:v>
      </x:c>
      <x:c r="J5" s="148" t="str">
        <x:f>'Player Stats'!R8</x:f>
        <x:v>Tequila Soda</x:v>
      </x:c>
      <x:c r="K5" s="148" t="str">
        <x:f>'Player Stats'!S8</x:f>
        <x:v>Shook Ones – Mobb Deep</x:v>
      </x:c>
      <x:c r="L5" s="148" t="str">
        <x:f>'Player Stats'!T8</x:f>
        <x:v>Dylan is from Pitt Meadows, British Columbia and plays out of Pitt Meadows Golf Club. Current handicap: 15.</x:v>
      </x:c>
      <x:c r="M5" s="150" t="n">
        <x:f>'Player Stats'!E8</x:f>
        <x:v>4</x:v>
      </x:c>
      <x:c r="N5" s="150" t="n">
        <x:f>'Player Stats'!F8</x:f>
        <x:v>11</x:v>
      </x:c>
      <x:c r="O5" s="150" t="n">
        <x:f>'Player Stats'!G8</x:f>
        <x:v>0</x:v>
      </x:c>
      <x:c r="P5" s="150" t="n">
        <x:f>'Player Stats'!H8</x:f>
        <x:v>15</x:v>
      </x:c>
      <x:c r="Q5" s="150" t="n">
        <x:f>'Player Stats'!E8+'Player Stats'!G8*0.5</x:f>
        <x:v>4</x:v>
      </x:c>
      <x:c r="R5" s="152" t="n">
        <x:f>'Player Stats'!I8</x:f>
        <x:v>0.26666666666666666</x:v>
      </x:c>
      <x:c r="S5" s="148" t="str">
        <x:f>'Player Stats'!U8</x:f>
        <x:v>red-dylan</x:v>
      </x:c>
    </x:row>
    <x:row r="6" ht="38.25">
      <x:c r="A6" s="148" t="str">
        <x:f>'Player Stats'!A9</x:f>
        <x:v>navy-eric</x:v>
      </x:c>
      <x:c r="B6" s="148" t="str">
        <x:f>'Player Stats'!M9</x:f>
        <x:v>Eric</x:v>
      </x:c>
      <x:c r="C6" s="148" t="str">
        <x:f>'Player Stats'!N9</x:f>
        <x:v>Bleim</x:v>
      </x:c>
      <x:c r="D6" s="148" t="str">
        <x:f>'Player Stats'!B9</x:f>
        <x:v>Eric Bleim</x:v>
      </x:c>
      <x:c r="E6" s="148" t="str">
        <x:f>LOWER('Player Stats'!C9)</x:f>
        <x:v>navy</x:v>
      </x:c>
      <x:c r="F6" s="148" t="b">
        <x:f>IF('Player Stats'!D9="Yes",TRUE,FALSE)</x:f>
        <x:v>1</x:v>
      </x:c>
      <x:c r="G6" s="150" t="n">
        <x:f>'Player Stats'!O9</x:f>
        <x:v>16</x:v>
      </x:c>
      <x:c r="H6" s="148" t="str">
        <x:f>'Player Stats'!P9</x:f>
        <x:v>North Vancouver, British Columbia</x:v>
      </x:c>
      <x:c r="I6" s="148" t="str">
        <x:f>'Player Stats'!Q9</x:f>
        <x:v>The Redwoods Golf Course</x:v>
      </x:c>
      <x:c r="J6" s="148" t="str">
        <x:f>'Player Stats'!R9</x:f>
        <x:v>Orange Crush (zero sugar)</x:v>
      </x:c>
      <x:c r="K6" s="148" t="str">
        <x:f>'Player Stats'!S9</x:f>
        <x:v>Pink Pony Club – Chappell Roan</x:v>
      </x:c>
      <x:c r="L6" s="148" t="str">
        <x:f>'Player Stats'!T9</x:f>
        <x:v>Eric is from North Vancouver, British Columbia and plays out of The Redwoods Golf Course. Current handicap: 16.</x:v>
      </x:c>
      <x:c r="M6" s="150" t="n">
        <x:f>'Player Stats'!E9</x:f>
        <x:v>8</x:v>
      </x:c>
      <x:c r="N6" s="150" t="n">
        <x:f>'Player Stats'!F9</x:f>
        <x:v>7</x:v>
      </x:c>
      <x:c r="O6" s="150" t="n">
        <x:f>'Player Stats'!G9</x:f>
        <x:v>0</x:v>
      </x:c>
      <x:c r="P6" s="150" t="n">
        <x:f>'Player Stats'!H9</x:f>
        <x:v>15</x:v>
      </x:c>
      <x:c r="Q6" s="150" t="n">
        <x:f>'Player Stats'!E9+'Player Stats'!G9*0.5</x:f>
        <x:v>8</x:v>
      </x:c>
      <x:c r="R6" s="152" t="n">
        <x:f>'Player Stats'!I9</x:f>
        <x:v>0.5333333333333333</x:v>
      </x:c>
      <x:c r="S6" s="148" t="str">
        <x:f>'Player Stats'!U9</x:f>
        <x:v>navy-eric</x:v>
      </x:c>
    </x:row>
    <x:row r="7" ht="38.25">
      <x:c r="A7" s="148" t="str">
        <x:f>'Player Stats'!A10</x:f>
        <x:v>navy-george</x:v>
      </x:c>
      <x:c r="B7" s="148" t="str">
        <x:f>'Player Stats'!M10</x:f>
        <x:v>George</x:v>
      </x:c>
      <x:c r="C7" s="148" t="str">
        <x:f>'Player Stats'!N10</x:f>
        <x:v>Collister</x:v>
      </x:c>
      <x:c r="D7" s="148" t="str">
        <x:f>'Player Stats'!B10</x:f>
        <x:v>George Collister</x:v>
      </x:c>
      <x:c r="E7" s="148" t="str">
        <x:f>LOWER('Player Stats'!C10)</x:f>
        <x:v>navy</x:v>
      </x:c>
      <x:c r="F7" s="148" t="b">
        <x:f>IF('Player Stats'!D10="Yes",TRUE,FALSE)</x:f>
        <x:v>1</x:v>
      </x:c>
      <x:c r="G7" s="150" t="n">
        <x:f>'Player Stats'!O10</x:f>
        <x:v>12</x:v>
      </x:c>
      <x:c r="H7" s="148" t="str">
        <x:f>'Player Stats'!P10</x:f>
        <x:v>Langley, British Columbia</x:v>
      </x:c>
      <x:c r="I7" s="148" t="str">
        <x:f>'Player Stats'!Q10</x:f>
        <x:v>The Redwoods Golf Course</x:v>
      </x:c>
      <x:c r="J7" s="148" t="str">
        <x:f>'Player Stats'!R10</x:f>
        <x:v>Miller Lite</x:v>
      </x:c>
      <x:c r="K7" s="148" t="str">
        <x:f>'Player Stats'!S10</x:f>
        <x:v>Money for nothing – Dire Straights</x:v>
      </x:c>
      <x:c r="L7" s="148" t="str">
        <x:f>'Player Stats'!T10</x:f>
        <x:v>George is from Langley, British Columbia and plays out of The Redwoods Golf Course. Current handicap: 12.</x:v>
      </x:c>
      <x:c r="M7" s="150" t="n">
        <x:f>'Player Stats'!E10</x:f>
        <x:v>9</x:v>
      </x:c>
      <x:c r="N7" s="150" t="n">
        <x:f>'Player Stats'!F10</x:f>
        <x:v>6</x:v>
      </x:c>
      <x:c r="O7" s="150" t="n">
        <x:f>'Player Stats'!G10</x:f>
        <x:v>0</x:v>
      </x:c>
      <x:c r="P7" s="150" t="n">
        <x:f>'Player Stats'!H10</x:f>
        <x:v>15</x:v>
      </x:c>
      <x:c r="Q7" s="150" t="n">
        <x:f>'Player Stats'!E10+'Player Stats'!G10*0.5</x:f>
        <x:v>9</x:v>
      </x:c>
      <x:c r="R7" s="152" t="n">
        <x:f>'Player Stats'!I10</x:f>
        <x:v>0.6</x:v>
      </x:c>
      <x:c r="S7" s="148" t="str">
        <x:f>'Player Stats'!U10</x:f>
        <x:v>navy-george</x:v>
      </x:c>
    </x:row>
    <x:row r="8" ht="38.25">
      <x:c r="A8" s="148" t="str">
        <x:f>'Player Stats'!A11</x:f>
        <x:v>navy-steven</x:v>
      </x:c>
      <x:c r="B8" s="148" t="str">
        <x:f>'Player Stats'!M11</x:f>
        <x:v>Steven</x:v>
      </x:c>
      <x:c r="C8" s="148" t="str">
        <x:f>'Player Stats'!N11</x:f>
        <x:v>Wells</x:v>
      </x:c>
      <x:c r="D8" s="148" t="str">
        <x:f>'Player Stats'!B11</x:f>
        <x:v>Steven Wells</x:v>
      </x:c>
      <x:c r="E8" s="148" t="str">
        <x:f>LOWER('Player Stats'!C11)</x:f>
        <x:v>navy</x:v>
      </x:c>
      <x:c r="F8" s="148" t="b">
        <x:f>IF('Player Stats'!D11="Yes",TRUE,FALSE)</x:f>
        <x:v>1</x:v>
      </x:c>
      <x:c r="G8" s="150" t="n">
        <x:f>'Player Stats'!O11</x:f>
        <x:v>24</x:v>
      </x:c>
      <x:c r="H8" s="148" t="str">
        <x:f>'Player Stats'!P11</x:f>
        <x:v>North Vancouver, British Columbia</x:v>
      </x:c>
      <x:c r="I8" s="148" t="str">
        <x:f>'Player Stats'!Q11</x:f>
        <x:v>Glen Eagles Golf Course</x:v>
      </x:c>
      <x:c r="J8" s="148" t="str">
        <x:f>'Player Stats'!R11</x:f>
        <x:v>TBD</x:v>
      </x:c>
      <x:c r="K8" s="148" t="str">
        <x:f>'Player Stats'!S11</x:f>
        <x:v>TBD</x:v>
      </x:c>
      <x:c r="L8" s="148" t="str">
        <x:f>'Player Stats'!T11</x:f>
        <x:v>Steven is from North Vancouver, British Columbia and plays out of Glen Eagles Golf Course. Current handicap: 24.</x:v>
      </x:c>
      <x:c r="M8" s="150" t="n">
        <x:f>'Player Stats'!E11</x:f>
        <x:v>10</x:v>
      </x:c>
      <x:c r="N8" s="150" t="n">
        <x:f>'Player Stats'!F11</x:f>
        <x:v>5</x:v>
      </x:c>
      <x:c r="O8" s="150" t="n">
        <x:f>'Player Stats'!G11</x:f>
        <x:v>0</x:v>
      </x:c>
      <x:c r="P8" s="150" t="n">
        <x:f>'Player Stats'!H11</x:f>
        <x:v>15</x:v>
      </x:c>
      <x:c r="Q8" s="150" t="n">
        <x:f>'Player Stats'!E11+'Player Stats'!G11*0.5</x:f>
        <x:v>10</x:v>
      </x:c>
      <x:c r="R8" s="152" t="n">
        <x:f>'Player Stats'!I11</x:f>
        <x:v>0.6666666666666666</x:v>
      </x:c>
      <x:c r="S8" s="148" t="str">
        <x:f>'Player Stats'!U11</x:f>
        <x:v>navy-steven</x:v>
      </x:c>
    </x:row>
    <x:row r="9" ht="25.5">
      <x:c r="A9" s="149" t="str">
        <x:f>'Player Stats'!A12</x:f>
        <x:v>navy-jj</x:v>
      </x:c>
      <x:c r="B9" s="149" t="str">
        <x:f>'Player Stats'!M12</x:f>
        <x:v>JJ</x:v>
      </x:c>
      <x:c r="C9" s="149" t="str">
        <x:f>'Player Stats'!N12</x:f>
        <x:v>Meakings</x:v>
      </x:c>
      <x:c r="D9" s="149" t="str">
        <x:f>'Player Stats'!B12</x:f>
        <x:v>JJ Meakings</x:v>
      </x:c>
      <x:c r="E9" s="149" t="str">
        <x:f>LOWER('Player Stats'!C12)</x:f>
        <x:v>navy</x:v>
      </x:c>
      <x:c r="F9" s="149" t="b">
        <x:f>IF('Player Stats'!D12="Yes",TRUE,FALSE)</x:f>
        <x:v>1</x:v>
      </x:c>
      <x:c r="G9" s="151" t="n">
        <x:f>'Player Stats'!O12</x:f>
        <x:v>5</x:v>
      </x:c>
      <x:c r="H9" s="149" t="str">
        <x:f>'Player Stats'!P12</x:f>
        <x:v>Scottsdale, Arizona</x:v>
      </x:c>
      <x:c r="I9" s="149" t="str">
        <x:f>'Player Stats'!Q12</x:f>
        <x:v>Trilogy Golf Club at Vistancia</x:v>
      </x:c>
      <x:c r="J9" s="149" t="str">
        <x:f>'Player Stats'!R12</x:f>
        <x:v>Diet Coke</x:v>
      </x:c>
      <x:c r="K9" s="149" t="str">
        <x:f>'Player Stats'!S12</x:f>
        <x:v>Victory Lap – Fred Again</x:v>
      </x:c>
      <x:c r="L9" s="149" t="str">
        <x:f>'Player Stats'!T12</x:f>
        <x:v>JJ is from Scottsdale, Arizona and plays out of Trilogy Golf Club at Vistancia. Current handicap: 5.</x:v>
      </x:c>
      <x:c r="M9" s="151" t="n">
        <x:f>'Player Stats'!E12</x:f>
        <x:v>8</x:v>
      </x:c>
      <x:c r="N9" s="151" t="n">
        <x:f>'Player Stats'!F12</x:f>
        <x:v>5</x:v>
      </x:c>
      <x:c r="O9" s="151" t="n">
        <x:f>'Player Stats'!G12</x:f>
        <x:v>2</x:v>
      </x:c>
      <x:c r="P9" s="151" t="n">
        <x:f>'Player Stats'!H12</x:f>
        <x:v>15</x:v>
      </x:c>
      <x:c r="Q9" s="151" t="n">
        <x:f>'Player Stats'!E12+'Player Stats'!G12*0.5</x:f>
        <x:v>9</x:v>
      </x:c>
      <x:c r="R9" s="153" t="n">
        <x:f>'Player Stats'!I12</x:f>
        <x:v>0.6</x:v>
      </x:c>
      <x:c r="S9" s="149" t="str">
        <x:f>'Player Stats'!U12</x:f>
        <x:v>navy-jj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2.75"/>
  <x:cols>
    <x:col min="1" max="1" width="20" customWidth="1"/>
    <x:col min="2" max="2" width="9" customWidth="1"/>
    <x:col min="3" max="3" width="20" customWidth="1"/>
    <x:col min="4" max="4" width="58" hidden="0" customWidth="1"/>
    <x:col min="5" max="6" width="18" customWidth="1"/>
    <x:col min="7" max="7" width="12" customWidth="1"/>
    <x:col min="8" max="10" width="13" customWidth="1"/>
    <x:col min="11" max="11" width="14" customWidth="1"/>
    <x:col min="12" max="14" width="12" customWidth="1"/>
    <x:col min="15" max="16" width="18" customWidth="1"/>
    <x:col min="17" max="17" width="42" customWidth="1"/>
    <x:col min="5" max="5" width="16" hidden="0" customWidth="1"/>
    <x:col min="6" max="6" width="20" hidden="0" customWidth="1"/>
    <x:col min="15" max="15" width="20" hidden="0" customWidth="1"/>
  </x:cols>
  <x:sheetData>
    <x:row r="1" ht="25.5">
      <x:c r="A1" s="343" t="s">
        <x:v>232</x:v>
      </x:c>
      <x:c r="B1" s="343" t="s">
        <x:v>268</x:v>
      </x:c>
      <x:c r="C1" s="343" t="s">
        <x:v>269</x:v>
      </x:c>
      <x:c r="D1" s="343" t="s">
        <x:v>270</x:v>
      </x:c>
      <x:c r="E1" s="343" t="s">
        <x:v>271</x:v>
      </x:c>
      <x:c r="F1" s="343" t="s">
        <x:v>272</x:v>
      </x:c>
      <x:c r="G1" s="343" t="s">
        <x:v>273</x:v>
      </x:c>
      <x:c r="H1" s="343" t="s">
        <x:v>274</x:v>
      </x:c>
      <x:c r="I1" s="343" t="s">
        <x:v>275</x:v>
      </x:c>
      <x:c r="J1" s="343" t="s">
        <x:v>237</x:v>
      </x:c>
      <x:c r="K1" s="343" t="s">
        <x:v>276</x:v>
      </x:c>
      <x:c r="L1" s="343" t="s">
        <x:v>246</x:v>
      </x:c>
      <x:c r="M1" s="343" t="s">
        <x:v>247</x:v>
      </x:c>
      <x:c r="N1" s="343" t="s">
        <x:v>277</x:v>
      </x:c>
      <x:c r="O1" s="343" t="str">
        <x:v>winning captain</x:v>
      </x:c>
      <x:c r="P1" s="343" t="s">
        <x:v>278</x:v>
      </x:c>
      <x:c r="Q1" s="343" t="s">
        <x:v>279</x:v>
      </x:c>
    </x:row>
    <x:row r="2" ht="25.5">
      <x:c r="A2" s="344" t="str">
        <x:f>"cyder-cup-"&amp;TEXT('Record Book'!A7,"0")</x:f>
        <x:v>cyder-cup-2019</x:v>
      </x:c>
      <x:c r="B2" s="344" t="n">
        <x:f>'Record Book'!A7</x:f>
        <x:v>2019</x:v>
      </x:c>
      <x:c r="C2" s="344" t="str">
        <x:f>"Cyder Cup "&amp;TEXT(B2,"0")</x:f>
        <x:v>Cyder Cup 2019</x:v>
      </x:c>
      <x:c r="D2" s="344" t="str">
        <x:v>Tobiano Golf Course | The Dunes Golf Course | Sun Peaks Golf Course</x:v>
      </x:c>
      <x:c r="E2" s="344" t="str">
        <x:v>Kamloops</x:v>
      </x:c>
      <x:c r="F2" s="344" t="str">
        <x:v>British Columbia</x:v>
      </x:c>
      <x:c r="G2" s="344" t="str">
        <x:v>Canada</x:v>
      </x:c>
      <x:c r="H2" s="341" t="n">
        <x:v>43680</x:v>
      </x:c>
      <x:c r="I2" s="341" t="n">
        <x:v>43682</x:v>
      </x:c>
      <x:c r="J2" s="344" t="str">
        <x:f>"complete"</x:f>
        <x:v>complete</x:v>
      </x:c>
      <x:c r="K2" s="344" t="str">
        <x:f>LOWER('Record Book'!B7)</x:f>
        <x:v>navy</x:v>
      </x:c>
      <x:c r="L2" s="345" t="n">
        <x:f>'Record Book'!F7</x:f>
        <x:v>13.5</x:v>
      </x:c>
      <x:c r="M2" s="345" t="n">
        <x:f>'Record Book'!E7</x:f>
        <x:v>1.5</x:v>
      </x:c>
      <x:c r="N2" s="345" t="n">
        <x:f>15.5</x:f>
        <x:v>15.5</x:v>
      </x:c>
      <x:c r="O2" s="344" t="str">
        <x:f>'Record Book'!C7</x:f>
        <x:v>Eric Bleim</x:v>
      </x:c>
      <x:c r="P2" s="344" t="str">
        <x:f>""</x:f>
      </x:c>
      <x:c r="Q2" s="344" t="str">
        <x:f>"The "&amp;TEXT(B2,"0")&amp;" Cyder Cup was won by Team "&amp;PROPER(K2)&amp;" "&amp;'Record Book'!D7&amp;"."</x:f>
        <x:v>The 2019 Cyder Cup was won by Team Navy 13.5 - 1.5.</x:v>
      </x:c>
    </x:row>
    <x:row r="3" ht="25.5">
      <x:c r="A3" s="344" t="str">
        <x:f>"cyder-cup-"&amp;TEXT('Record Book'!A8,"0")</x:f>
        <x:v>cyder-cup-2020</x:v>
      </x:c>
      <x:c r="B3" s="344" t="n">
        <x:f>'Record Book'!A8</x:f>
        <x:v>2020</x:v>
      </x:c>
      <x:c r="C3" s="344" t="str">
        <x:f>"Cyder Cup "&amp;TEXT(B3,"0")</x:f>
        <x:v>Cyder Cup 2020</x:v>
      </x:c>
      <x:c r="D3" s="344" t="str">
        <x:v>Tobiano Golf Course | Eaglepoint Golf Resort | Bighorn Golf and Country Club</x:v>
      </x:c>
      <x:c r="E3" s="344" t="str">
        <x:v>Kamloops</x:v>
      </x:c>
      <x:c r="F3" s="344" t="str">
        <x:v>British Columbia</x:v>
      </x:c>
      <x:c r="G3" s="344" t="str">
        <x:v>Canada</x:v>
      </x:c>
      <x:c r="H3" s="341" t="n">
        <x:v>44044</x:v>
      </x:c>
      <x:c r="I3" s="341" t="n">
        <x:v>44046</x:v>
      </x:c>
      <x:c r="J3" s="344" t="str">
        <x:f>"complete"</x:f>
        <x:v>complete</x:v>
      </x:c>
      <x:c r="K3" s="344" t="str">
        <x:f>LOWER('Record Book'!B8)</x:f>
        <x:v>red</x:v>
      </x:c>
      <x:c r="L3" s="345" t="n">
        <x:f>'Record Book'!F8</x:f>
        <x:v>5</x:v>
      </x:c>
      <x:c r="M3" s="345" t="n">
        <x:f>'Record Book'!E8</x:f>
        <x:v>10</x:v>
      </x:c>
      <x:c r="N3" s="345" t="n">
        <x:f>15.5</x:f>
        <x:v>15.5</x:v>
      </x:c>
      <x:c r="O3" s="344" t="str">
        <x:f>'Record Book'!C8</x:f>
        <x:v>Kevin Catliff</x:v>
      </x:c>
      <x:c r="P3" s="344" t="str">
        <x:f>""</x:f>
      </x:c>
      <x:c r="Q3" s="344" t="str">
        <x:f>"The "&amp;TEXT(B3,"0")&amp;" Cyder Cup was won by Team "&amp;PROPER(K3)&amp;" "&amp;'Record Book'!D8&amp;"."</x:f>
        <x:v>The 2020 Cyder Cup was won by Team Red 10 - 5.</x:v>
      </x:c>
    </x:row>
    <x:row r="4" ht="25.5">
      <x:c r="A4" s="344" t="str">
        <x:f>"cyder-cup-"&amp;TEXT('Record Book'!A9,"0")</x:f>
        <x:v>cyder-cup-2021</x:v>
      </x:c>
      <x:c r="B4" s="344" t="n">
        <x:f>'Record Book'!A9</x:f>
        <x:v>2021</x:v>
      </x:c>
      <x:c r="C4" s="344" t="str">
        <x:f>"Cyder Cup "&amp;TEXT(B4,"0")</x:f>
        <x:v>Cyder Cup 2021</x:v>
      </x:c>
      <x:c r="D4" s="344" t="str">
        <x:v>Tobiano Golf Course | Talking Rock Golf Resort | Sun Peaks Golf Resort</x:v>
      </x:c>
      <x:c r="E4" s="344" t="str">
        <x:v>Kamloops</x:v>
      </x:c>
      <x:c r="F4" s="344" t="str">
        <x:v>British Columbia</x:v>
      </x:c>
      <x:c r="G4" s="344" t="str">
        <x:v>Canada</x:v>
      </x:c>
      <x:c r="H4" s="341" t="n">
        <x:v>44385</x:v>
      </x:c>
      <x:c r="I4" s="341" t="n">
        <x:v>44387</x:v>
      </x:c>
      <x:c r="J4" s="344" t="str">
        <x:f>"complete"</x:f>
        <x:v>complete</x:v>
      </x:c>
      <x:c r="K4" s="344" t="str">
        <x:f>LOWER('Record Book'!B9)</x:f>
        <x:v>red</x:v>
      </x:c>
      <x:c r="L4" s="345" t="n">
        <x:f>'Record Book'!F9</x:f>
        <x:v>6</x:v>
      </x:c>
      <x:c r="M4" s="345" t="n">
        <x:f>'Record Book'!E9</x:f>
        <x:v>9</x:v>
      </x:c>
      <x:c r="N4" s="345" t="n">
        <x:f>15.5</x:f>
        <x:v>15.5</x:v>
      </x:c>
      <x:c r="O4" s="344" t="str">
        <x:f>'Record Book'!C9</x:f>
        <x:v>Dylan Bradley</x:v>
      </x:c>
      <x:c r="P4" s="344" t="str">
        <x:f>""</x:f>
      </x:c>
      <x:c r="Q4" s="344" t="str">
        <x:f>"The "&amp;TEXT(B4,"0")&amp;" Cyder Cup was won by Team "&amp;PROPER(K4)&amp;" "&amp;'Record Book'!D9&amp;"."</x:f>
        <x:v>The 2021 Cyder Cup was won by Team Red 9 - 6.</x:v>
      </x:c>
    </x:row>
    <x:row r="5" ht="25.5">
      <x:c r="A5" s="344" t="str">
        <x:f>"cyder-cup-"&amp;TEXT('Record Book'!A10,"0")</x:f>
        <x:v>cyder-cup-2022</x:v>
      </x:c>
      <x:c r="B5" s="344" t="n">
        <x:f>'Record Book'!A10</x:f>
        <x:v>2022</x:v>
      </x:c>
      <x:c r="C5" s="344" t="str">
        <x:f>"Cyder Cup "&amp;TEXT(B5,"0")</x:f>
        <x:v>Cyder Cup 2022</x:v>
      </x:c>
      <x:c r="D5" s="344" t="str">
        <x:v>Nickolas North Golf Course | Big Sky Golf Club | Sunstone Golf Club</x:v>
      </x:c>
      <x:c r="E5" s="344" t="str">
        <x:v>Pemberton</x:v>
      </x:c>
      <x:c r="F5" s="344" t="str">
        <x:v>British Columbia</x:v>
      </x:c>
      <x:c r="G5" s="344" t="str">
        <x:v>Canada</x:v>
      </x:c>
      <x:c r="H5" s="341" t="n">
        <x:v>44792</x:v>
      </x:c>
      <x:c r="I5" s="341" t="n">
        <x:v>44794</x:v>
      </x:c>
      <x:c r="J5" s="344" t="str">
        <x:f>"complete"</x:f>
        <x:v>complete</x:v>
      </x:c>
      <x:c r="K5" s="344" t="str">
        <x:f>LOWER('Record Book'!B10)</x:f>
        <x:v>navy</x:v>
      </x:c>
      <x:c r="L5" s="345" t="n">
        <x:f>'Record Book'!F10</x:f>
        <x:v>8</x:v>
      </x:c>
      <x:c r="M5" s="345" t="n">
        <x:f>'Record Book'!E10</x:f>
        <x:v>7</x:v>
      </x:c>
      <x:c r="N5" s="345" t="n">
        <x:f>15.5</x:f>
        <x:v>15.5</x:v>
      </x:c>
      <x:c r="O5" s="344" t="str">
        <x:f>'Record Book'!C10</x:f>
        <x:v>JJ Meakings</x:v>
      </x:c>
      <x:c r="P5" s="344" t="str">
        <x:f>""</x:f>
      </x:c>
      <x:c r="Q5" s="344" t="str">
        <x:f>"The "&amp;TEXT(B5,"0")&amp;" Cyder Cup was won by Team "&amp;PROPER(K5)&amp;" "&amp;'Record Book'!D10&amp;"."</x:f>
        <x:v>The 2022 Cyder Cup was won by Team Navy 8 - 7.</x:v>
      </x:c>
    </x:row>
    <x:row r="6" ht="25.5">
      <x:c r="A6" s="344" t="str">
        <x:f>"cyder-cup-"&amp;TEXT('Record Book'!A11,"0")</x:f>
        <x:v>cyder-cup-2025</x:v>
      </x:c>
      <x:c r="B6" s="344" t="n">
        <x:f>'Record Book'!A11</x:f>
        <x:v>2025</x:v>
      </x:c>
      <x:c r="C6" s="344" t="str">
        <x:f>"Cyder Cup "&amp;TEXT(B6,"0")</x:f>
        <x:v>Cyder Cup 2025</x:v>
      </x:c>
      <x:c r="D6" s="344" t="str">
        <x:v>Fairmont Chateau | Big Sky Golf Club | Whistler Golf Course</x:v>
      </x:c>
      <x:c r="E6" s="344" t="str">
        <x:v>Whistler</x:v>
      </x:c>
      <x:c r="F6" s="344" t="str">
        <x:v>British Columbia</x:v>
      </x:c>
      <x:c r="G6" s="344" t="str">
        <x:v>Canada</x:v>
      </x:c>
      <x:c r="H6" s="341" t="n">
        <x:v>45881</x:v>
      </x:c>
      <x:c r="I6" s="341" t="n">
        <x:v>45884</x:v>
      </x:c>
      <x:c r="J6" s="344" t="str">
        <x:f>"complete"</x:f>
        <x:v>complete</x:v>
      </x:c>
      <x:c r="K6" s="344" t="str">
        <x:f>LOWER('Record Book'!B11)</x:f>
        <x:v>navy</x:v>
      </x:c>
      <x:c r="L6" s="345" t="n">
        <x:f>'Record Book'!F11</x:f>
        <x:v>9.5</x:v>
      </x:c>
      <x:c r="M6" s="345" t="n">
        <x:f>'Record Book'!E11</x:f>
        <x:v>5.5</x:v>
      </x:c>
      <x:c r="N6" s="345" t="n">
        <x:f>15.5</x:f>
        <x:v>15.5</x:v>
      </x:c>
      <x:c r="O6" s="344" t="str">
        <x:f>'Record Book'!C11</x:f>
        <x:v>Eric Bleim</x:v>
      </x:c>
      <x:c r="P6" s="344" t="str">
        <x:f>""</x:f>
      </x:c>
      <x:c r="Q6" s="344" t="str">
        <x:f>"The "&amp;TEXT(B6,"0")&amp;" Cyder Cup was won by Team "&amp;PROPER(K6)&amp;" "&amp;'Record Book'!D11&amp;"."</x:f>
        <x:v>The 2025 Cyder Cup was won by Team Navy 9.5 - 5.5.</x:v>
      </x:c>
    </x:row>
    <x:row r="7">
      <x:c r="A7" s="344" t="s">
        <x:v>280</x:v>
      </x:c>
      <x:c r="B7" s="344">
        <x:v>2026</x:v>
      </x:c>
      <x:c r="C7" s="344" t="s">
        <x:v>281</x:v>
      </x:c>
      <x:c r="D7" s="344" t="str">
        <x:v>Predator Ridge Golf Club | Predator Ridge Resort</x:v>
      </x:c>
      <x:c r="E7" s="344" t="str">
        <x:v>Vernon</x:v>
      </x:c>
      <x:c r="F7" s="344" t="str">
        <x:v>British Columbia</x:v>
      </x:c>
      <x:c r="G7" s="344" t="str">
        <x:v>Canada</x:v>
      </x:c>
      <x:c r="H7" s="341" t="n">
        <x:v>46254</x:v>
      </x:c>
      <x:c r="I7" s="341" t="n">
        <x:v>46257</x:v>
      </x:c>
      <x:c r="J7" s="344" t="s">
        <x:v>282</x:v>
      </x:c>
      <x:c r="K7" s="344"/>
      <x:c r="L7" s="345" t="n">
        <x:f>'Live Leaderboard'!A7</x:f>
        <x:v>0</x:v>
      </x:c>
      <x:c r="M7" s="345" t="n">
        <x:f>'Live Leaderboard'!I7</x:f>
        <x:v>0</x:v>
      </x:c>
      <x:c r="N7" s="345" t="n">
        <x:f>'Live Leaderboard'!B3</x:f>
        <x:v>15.5</x:v>
      </x:c>
      <x:c r="O7" s="344"/>
      <x:c r="P7" s="344"/>
      <x:c r="Q7" s="344" t="s">
        <x:v>283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2.75"/>
  <x:cols>
    <x:col min="1" max="1" width="24" hidden="0" customWidth="1"/>
    <x:col min="2" max="2" width="13" hidden="0" customWidth="1"/>
    <x:col min="3" max="3" width="31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12" hidden="0" customWidth="1"/>
    <x:col min="9" max="9" width="18" hidden="0" customWidth="1"/>
    <x:col min="10" max="10" width="10" hidden="0" customWidth="1"/>
    <x:col min="11" max="11" width="48" hidden="0" customWidth="1"/>
    <x:col min="12" max="12" width="1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</x:cols>
  <x:sheetData>
    <x:row r="1">
      <x:c r="A1" s="354" t="str">
        <x:v>record_id</x:v>
      </x:c>
      <x:c r="B1" s="354" t="str">
        <x:v>category</x:v>
      </x:c>
      <x:c r="C1" s="354" t="str">
        <x:v>title</x:v>
      </x:c>
      <x:c r="D1" s="354" t="str">
        <x:v>holder_type</x:v>
      </x:c>
      <x:c r="E1" s="354" t="str">
        <x:v>player_id</x:v>
      </x:c>
      <x:c r="F1" s="354" t="str">
        <x:v>team_id</x:v>
      </x:c>
      <x:c r="G1" s="354" t="str">
        <x:v>holder_name</x:v>
      </x:c>
      <x:c r="H1" s="354" t="str">
        <x:v>value</x:v>
      </x:c>
      <x:c r="I1" s="354" t="str">
        <x:v>display_value</x:v>
      </x:c>
      <x:c r="J1" s="354" t="str">
        <x:v>year</x:v>
      </x:c>
      <x:c r="K1" s="354" t="str">
        <x:v>description</x:v>
      </x:c>
      <x:c r="L1" s="354" t="str">
        <x:v>sort_order</x:v>
      </x:c>
      <x:c r="N1" s="363" t="str">
        <x:v>captain_name</x:v>
      </x:c>
      <x:c r="O1" s="363" t="str">
        <x:v>cup_wins</x:v>
      </x:c>
      <x:c r="P1" s="363"/>
      <x:c r="Q1" s="363"/>
      <x:c r="R1" s="363"/>
      <x:c r="S1" s="363"/>
      <x:c r="T1" s="363"/>
      <x:c r="U1" s="363"/>
      <x:c r="V1" s="363"/>
      <x:c r="W1" s="363"/>
      <x:c r="X1" s="363"/>
      <x:c r="Y1" s="363"/>
      <x:c r="Z1" s="363"/>
      <x:c r="AA1" s="363"/>
      <x:c r="AB1" s="363"/>
    </x:row>
    <x:row r="2">
      <x:c r="A2" s="344" t="str">
        <x:v>career-most-wins</x:v>
      </x:c>
      <x:c r="B2" s="344" t="str">
        <x:v>career</x:v>
      </x:c>
      <x:c r="C2" s="344" t="str">
        <x:v>Most Career Wins</x:v>
      </x:c>
      <x:c r="D2" s="344" t="str">
        <x:v>player</x:v>
      </x:c>
      <x:c r="E2" s="344" t="str">
        <x:f>INDEX('Player Stats'!$A$5:$A$12,MATCH(MAX('Player Stats'!$E$5:$E$12),'Player Stats'!$E$5:$E$12,0))</x:f>
        <x:v>navy-steven</x:v>
      </x:c>
      <x:c r="F2" s="344"/>
      <x:c r="G2" s="344" t="str">
        <x:f>INDEX('Player Stats'!$B$5:$B$12,MATCH(MAX('Player Stats'!$E$5:$E$12),'Player Stats'!$E$5:$E$12,0))</x:f>
        <x:v>Steven Wells</x:v>
      </x:c>
      <x:c r="H2" s="358" t="n">
        <x:f>MAX('Player Stats'!$E$5:$E$12)</x:f>
        <x:v>10</x:v>
      </x:c>
      <x:c r="I2" s="344" t="str">
        <x:f>TEXT(H2,"0")&amp;" wins"</x:f>
        <x:v>10 wins</x:v>
      </x:c>
      <x:c r="J2" s="344"/>
      <x:c r="K2" s="344" t="str">
        <x:v>Player with the most career match wins.</x:v>
      </x:c>
      <x:c r="L2" s="344" t="n">
        <x:v>10</x:v>
      </x:c>
      <x:c r="N2" s="360" t="str">
        <x:f>'Player Stats'!B5</x:f>
        <x:v>Sam Griffiths</x:v>
      </x:c>
      <x:c r="O2" s="360" t="n">
        <x:f>COUNTIF('Feed - Tournaments'!$O$2:$O$7,N2)</x:f>
        <x:v>0</x:v>
      </x:c>
      <x:c r="P2" s="360"/>
      <x:c r="Q2" s="360"/>
      <x:c r="R2" s="360"/>
      <x:c r="S2" s="360"/>
      <x:c r="T2" s="360"/>
      <x:c r="U2" s="360"/>
      <x:c r="V2" s="360"/>
      <x:c r="W2" s="360"/>
      <x:c r="X2" s="360"/>
      <x:c r="Y2" s="360"/>
      <x:c r="Z2" s="360"/>
      <x:c r="AA2" s="360"/>
      <x:c r="AB2" s="360"/>
    </x:row>
    <x:row r="3">
      <x:c r="A3" s="344" t="str">
        <x:v>career-best-points-pct</x:v>
      </x:c>
      <x:c r="B3" s="344" t="str">
        <x:v>career</x:v>
      </x:c>
      <x:c r="C3" s="344" t="str">
        <x:v>Best Career Points Percentage</x:v>
      </x:c>
      <x:c r="D3" s="344" t="str">
        <x:v>player</x:v>
      </x:c>
      <x:c r="E3" s="344" t="str">
        <x:f>INDEX('Player Stats'!$A$5:$A$12,MATCH(MAX('Player Stats'!$I$5:$I$12),'Player Stats'!$I$5:$I$12,0))</x:f>
        <x:v>navy-steven</x:v>
      </x:c>
      <x:c r="F3" s="344"/>
      <x:c r="G3" s="344" t="str">
        <x:f>INDEX('Player Stats'!$B$5:$B$12,MATCH(MAX('Player Stats'!$I$5:$I$12),'Player Stats'!$I$5:$I$12,0))</x:f>
        <x:v>Steven Wells</x:v>
      </x:c>
      <x:c r="H3" s="356" t="n">
        <x:f>MAX('Player Stats'!$I$5:$I$12)</x:f>
        <x:v>0.6666666666666666</x:v>
      </x:c>
      <x:c r="I3" s="344" t="str">
        <x:f>TEXT(H3,"0.0%")&amp;""</x:f>
        <x:v>66.7%</x:v>
      </x:c>
      <x:c r="J3" s="344"/>
      <x:c r="K3" s="344" t="str">
        <x:v>Player with the highest career points percentage.</x:v>
      </x:c>
      <x:c r="L3" s="344" t="n">
        <x:v>20</x:v>
      </x:c>
      <x:c r="N3" s="360" t="str">
        <x:f>'Player Stats'!B6</x:f>
        <x:v>Kevin Catliff</x:v>
      </x:c>
      <x:c r="O3" s="360" t="n">
        <x:f>COUNTIF('Feed - Tournaments'!$O$2:$O$7,N3)</x:f>
        <x:v>1</x:v>
      </x:c>
      <x:c r="P3" s="360"/>
      <x:c r="Q3" s="360"/>
      <x:c r="R3" s="360"/>
      <x:c r="S3" s="360"/>
      <x:c r="T3" s="360"/>
      <x:c r="U3" s="360"/>
      <x:c r="V3" s="360"/>
      <x:c r="W3" s="360"/>
      <x:c r="X3" s="360"/>
      <x:c r="Y3" s="360"/>
      <x:c r="Z3" s="360"/>
      <x:c r="AA3" s="360"/>
      <x:c r="AB3" s="360"/>
    </x:row>
    <x:row r="4">
      <x:c r="A4" s="344" t="str">
        <x:v>career-most-losses</x:v>
      </x:c>
      <x:c r="B4" s="344" t="str">
        <x:v>career</x:v>
      </x:c>
      <x:c r="C4" s="344" t="str">
        <x:v>Most Career Losses</x:v>
      </x:c>
      <x:c r="D4" s="344" t="str">
        <x:v>player</x:v>
      </x:c>
      <x:c r="E4" s="344" t="str">
        <x:f>INDEX('Player Stats'!$A$5:$A$12,MATCH(MAX('Player Stats'!$F$5:$F$12),'Player Stats'!$F$5:$F$12,0))</x:f>
        <x:v>red-dylan</x:v>
      </x:c>
      <x:c r="F4" s="344"/>
      <x:c r="G4" s="344" t="str">
        <x:f>INDEX('Player Stats'!$B$5:$B$12,MATCH(MAX('Player Stats'!$F$5:$F$12),'Player Stats'!$F$5:$F$12,0))</x:f>
        <x:v>Dylan Bradley</x:v>
      </x:c>
      <x:c r="H4" s="358" t="n">
        <x:f>MAX('Player Stats'!$F$5:$F$12)</x:f>
        <x:v>11</x:v>
      </x:c>
      <x:c r="I4" s="344" t="str">
        <x:f>TEXT(H4,"0")&amp;" losses"</x:f>
        <x:v>11 losses</x:v>
      </x:c>
      <x:c r="J4" s="344"/>
      <x:c r="K4" s="344" t="str">
        <x:v>Player with the most career match losses.</x:v>
      </x:c>
      <x:c r="L4" s="344" t="n">
        <x:v>30</x:v>
      </x:c>
      <x:c r="N4" s="360" t="str">
        <x:f>'Player Stats'!B7</x:f>
        <x:v>Sean Bromley</x:v>
      </x:c>
      <x:c r="O4" s="360" t="n">
        <x:f>COUNTIF('Feed - Tournaments'!$O$2:$O$7,N4)</x:f>
        <x:v>0</x:v>
      </x:c>
      <x:c r="P4" s="360"/>
      <x:c r="Q4" s="360"/>
      <x:c r="R4" s="360"/>
      <x:c r="S4" s="360"/>
      <x:c r="T4" s="360"/>
      <x:c r="U4" s="360"/>
      <x:c r="V4" s="360"/>
      <x:c r="W4" s="360"/>
      <x:c r="X4" s="360"/>
      <x:c r="Y4" s="360"/>
      <x:c r="Z4" s="360"/>
      <x:c r="AA4" s="360"/>
      <x:c r="AB4" s="360"/>
    </x:row>
    <x:row r="5">
      <x:c r="A5" s="344" t="str">
        <x:v>career-most-ties</x:v>
      </x:c>
      <x:c r="B5" s="344" t="str">
        <x:v>career</x:v>
      </x:c>
      <x:c r="C5" s="344" t="str">
        <x:v>Most Career Ties</x:v>
      </x:c>
      <x:c r="D5" s="344" t="str">
        <x:v>player</x:v>
      </x:c>
      <x:c r="E5" s="344" t="str">
        <x:f>INDEX('Player Stats'!$A$5:$A$12,MATCH(MAX('Player Stats'!$G$5:$G$12),'Player Stats'!$G$5:$G$12,0))</x:f>
        <x:v>navy-jj</x:v>
      </x:c>
      <x:c r="F5" s="344"/>
      <x:c r="G5" s="344" t="str">
        <x:f>INDEX('Player Stats'!$B$5:$B$12,MATCH(MAX('Player Stats'!$G$5:$G$12),'Player Stats'!$G$5:$G$12,0))</x:f>
        <x:v>JJ Meakings</x:v>
      </x:c>
      <x:c r="H5" s="358" t="n">
        <x:f>MAX('Player Stats'!$G$5:$G$12)</x:f>
        <x:v>2</x:v>
      </x:c>
      <x:c r="I5" s="344" t="str">
        <x:f>TEXT(H5,"0")&amp;" ties"</x:f>
        <x:v>2 ties</x:v>
      </x:c>
      <x:c r="J5" s="344"/>
      <x:c r="K5" s="344" t="str">
        <x:v>Player with the most career tied matches.</x:v>
      </x:c>
      <x:c r="L5" s="344" t="n">
        <x:v>40</x:v>
      </x:c>
      <x:c r="N5" s="360" t="str">
        <x:f>'Player Stats'!B8</x:f>
        <x:v>Dylan Bradley</x:v>
      </x:c>
      <x:c r="O5" s="360" t="n">
        <x:f>COUNTIF('Feed - Tournaments'!$O$2:$O$7,N5)</x:f>
        <x:v>1</x:v>
      </x:c>
      <x:c r="P5" s="360"/>
      <x:c r="Q5" s="360"/>
      <x:c r="R5" s="360"/>
      <x:c r="S5" s="360"/>
      <x:c r="T5" s="360"/>
      <x:c r="U5" s="360"/>
      <x:c r="V5" s="360"/>
      <x:c r="W5" s="360"/>
      <x:c r="X5" s="360"/>
      <x:c r="Y5" s="360"/>
      <x:c r="Z5" s="360"/>
      <x:c r="AA5" s="360"/>
      <x:c r="AB5" s="360"/>
    </x:row>
    <x:row r="6">
      <x:c r="A6" s="344" t="str">
        <x:v>team-most-titles</x:v>
      </x:c>
      <x:c r="B6" s="344" t="str">
        <x:v>team</x:v>
      </x:c>
      <x:c r="C6" s="344" t="str">
        <x:v>Most Cyder Cup Titles</x:v>
      </x:c>
      <x:c r="D6" s="344" t="str">
        <x:v>team</x:v>
      </x:c>
      <x:c r="E6" s="344"/>
      <x:c r="F6" s="344" t="str">
        <x:f>IF(COUNTIF('Feed - Tournaments'!$K$2:$K$7,"navy")&gt;=COUNTIF('Feed - Tournaments'!$K$2:$K$7,"red"),"navy","red")</x:f>
        <x:v>navy</x:v>
      </x:c>
      <x:c r="G6" s="344" t="str">
        <x:f>PROPER(F6)</x:f>
        <x:v>Navy</x:v>
      </x:c>
      <x:c r="H6" s="358" t="n">
        <x:f>MAX(COUNTIF('Feed - Tournaments'!$K$2:$K$7,"navy"),COUNTIF('Feed - Tournaments'!$K$2:$K$7,"red"))</x:f>
        <x:v>3</x:v>
      </x:c>
      <x:c r="I6" s="344" t="str">
        <x:f>TEXT(H6,"0")&amp;" titles"</x:f>
        <x:v>3 titles</x:v>
      </x:c>
      <x:c r="J6" s="344"/>
      <x:c r="K6" s="344" t="str">
        <x:v>Team with the most completed Cyder Cup victories.</x:v>
      </x:c>
      <x:c r="L6" s="344" t="n">
        <x:v>50</x:v>
      </x:c>
      <x:c r="N6" s="360" t="str">
        <x:f>'Player Stats'!B9</x:f>
        <x:v>Eric Bleim</x:v>
      </x:c>
      <x:c r="O6" s="360" t="n">
        <x:f>COUNTIF('Feed - Tournaments'!$O$2:$O$7,N6)</x:f>
        <x:v>2</x:v>
      </x:c>
      <x:c r="P6" s="360"/>
      <x:c r="Q6" s="360"/>
      <x:c r="R6" s="360"/>
      <x:c r="S6" s="360"/>
      <x:c r="T6" s="360"/>
      <x:c r="U6" s="360"/>
      <x:c r="V6" s="360"/>
      <x:c r="W6" s="360"/>
      <x:c r="X6" s="360"/>
      <x:c r="Y6" s="360"/>
      <x:c r="Z6" s="360"/>
      <x:c r="AA6" s="360"/>
      <x:c r="AB6" s="360"/>
    </x:row>
    <x:row r="7">
      <x:c r="A7" s="344" t="str">
        <x:v>captain-most-wins</x:v>
      </x:c>
      <x:c r="B7" s="344" t="str">
        <x:v>captain</x:v>
      </x:c>
      <x:c r="C7" s="344" t="str">
        <x:v>Most Captain Victories</x:v>
      </x:c>
      <x:c r="D7" s="344" t="str">
        <x:v>player</x:v>
      </x:c>
      <x:c r="E7" s="344" t="str">
        <x:f>INDEX('Player Stats'!$A$5:$A$12,MATCH(MAX($O$2:$O$9),$O$2:$O$9,0))</x:f>
        <x:v>navy-eric</x:v>
      </x:c>
      <x:c r="F7" s="344"/>
      <x:c r="G7" s="344" t="str">
        <x:f>INDEX($N$2:$N$9,MATCH(MAX($O$2:$O$9),$O$2:$O$9,0))</x:f>
        <x:v>Eric Bleim</x:v>
      </x:c>
      <x:c r="H7" s="358" t="n">
        <x:f>MAX($O$2:$O$9)</x:f>
        <x:v>2</x:v>
      </x:c>
      <x:c r="I7" s="344" t="str">
        <x:f>TEXT(H7,"0")&amp;" captain victories"</x:f>
        <x:v>2 captain victories</x:v>
      </x:c>
      <x:c r="J7" s="344"/>
      <x:c r="K7" s="344" t="str">
        <x:v>Captain with the most Cyder Cup victories.</x:v>
      </x:c>
      <x:c r="L7" s="344" t="n">
        <x:v>60</x:v>
      </x:c>
      <x:c r="N7" s="360" t="str">
        <x:f>'Player Stats'!B10</x:f>
        <x:v>George Collister</x:v>
      </x:c>
      <x:c r="O7" s="360" t="n">
        <x:f>COUNTIF('Feed - Tournaments'!$O$2:$O$7,N7)</x:f>
        <x:v>0</x:v>
      </x:c>
      <x:c r="P7" s="360"/>
      <x:c r="Q7" s="360"/>
      <x:c r="R7" s="360"/>
      <x:c r="S7" s="360"/>
      <x:c r="T7" s="360"/>
      <x:c r="U7" s="360"/>
      <x:c r="V7" s="360"/>
      <x:c r="W7" s="360"/>
      <x:c r="X7" s="360"/>
      <x:c r="Y7" s="360"/>
      <x:c r="Z7" s="360"/>
      <x:c r="AA7" s="360"/>
      <x:c r="AB7" s="360"/>
    </x:row>
    <x:row r="8">
      <x:c r="A8" s="344" t="str">
        <x:v>singles-most-wins</x:v>
      </x:c>
      <x:c r="B8" s="344" t="str">
        <x:v>format</x:v>
      </x:c>
      <x:c r="C8" s="344" t="str">
        <x:v>Most Singles Wins</x:v>
      </x:c>
      <x:c r="D8" s="344" t="str">
        <x:v>player</x:v>
      </x:c>
      <x:c r="E8" s="344" t="str">
        <x:f>INDEX($N$13:$N$20,MATCH(MAX($Q$13:$Q$20),$Q$13:$Q$20,0))</x:f>
        <x:v>red-sam</x:v>
      </x:c>
      <x:c r="F8" s="344" t="str">
        <x:f>INDEX($P$13:$P$20,MATCH(MAX($Q$13:$Q$20),$Q$13:$Q$20,0))</x:f>
        <x:v>red</x:v>
      </x:c>
      <x:c r="G8" s="344" t="str">
        <x:f>INDEX($O$13:$O$20,MATCH(MAX($Q$13:$Q$20),$Q$13:$Q$20,0))</x:f>
        <x:v>Sam Griffiths</x:v>
      </x:c>
      <x:c r="H8" s="358" t="n">
        <x:f>MAX($Q$13:$Q$20)</x:f>
        <x:v>3</x:v>
      </x:c>
      <x:c r="I8" s="344" t="str">
        <x:f>TEXT(H8,"0")&amp;" wins"</x:f>
        <x:v>3 wins</x:v>
      </x:c>
      <x:c r="J8" s="344"/>
      <x:c r="K8" s="344" t="str">
        <x:v>Player with the most historical singles wins.</x:v>
      </x:c>
      <x:c r="L8" s="344" t="n">
        <x:v>70</x:v>
      </x:c>
      <x:c r="N8" s="360" t="str">
        <x:f>'Player Stats'!B11</x:f>
        <x:v>Steven Wells</x:v>
      </x:c>
      <x:c r="O8" s="360" t="n">
        <x:f>COUNTIF('Feed - Tournaments'!$O$2:$O$7,N8)</x:f>
        <x:v>0</x:v>
      </x:c>
      <x:c r="P8" s="360"/>
      <x:c r="Q8" s="360"/>
      <x:c r="R8" s="360"/>
      <x:c r="S8" s="360"/>
      <x:c r="T8" s="360"/>
      <x:c r="U8" s="360"/>
      <x:c r="V8" s="360"/>
      <x:c r="W8" s="360"/>
      <x:c r="X8" s="360"/>
      <x:c r="Y8" s="360"/>
      <x:c r="Z8" s="360"/>
      <x:c r="AA8" s="360"/>
      <x:c r="AB8" s="360"/>
    </x:row>
    <x:row r="9">
      <x:c r="A9" s="344" t="str">
        <x:v>singles-best-pct</x:v>
      </x:c>
      <x:c r="B9" s="344" t="str">
        <x:v>format</x:v>
      </x:c>
      <x:c r="C9" s="344" t="str">
        <x:v>Best Singles Win Percentage</x:v>
      </x:c>
      <x:c r="D9" s="344" t="str">
        <x:v>player</x:v>
      </x:c>
      <x:c r="E9" s="344" t="str">
        <x:f>INDEX($N$13:$N$20,MATCH(MAX($T$13:$T$20),$T$13:$T$20,0))</x:f>
        <x:v>red-sam</x:v>
      </x:c>
      <x:c r="F9" s="344" t="str">
        <x:f>INDEX($P$13:$P$20,MATCH(MAX($T$13:$T$20),$T$13:$T$20,0))</x:f>
        <x:v>red</x:v>
      </x:c>
      <x:c r="G9" s="344" t="str">
        <x:f>INDEX($O$13:$O$20,MATCH(MAX($T$13:$T$20),$T$13:$T$20,0))</x:f>
        <x:v>Sam Griffiths</x:v>
      </x:c>
      <x:c r="H9" s="356" t="n">
        <x:f>MAX($T$13:$T$20)</x:f>
        <x:v>0.7</x:v>
      </x:c>
      <x:c r="I9" s="344" t="str">
        <x:f>TEXT(H9,"0.0%")&amp;""</x:f>
        <x:v>70.0%</x:v>
      </x:c>
      <x:c r="J9" s="344"/>
      <x:c r="K9" s="344" t="str">
        <x:v>Player with the best singles points percentage.</x:v>
      </x:c>
      <x:c r="L9" s="344" t="n">
        <x:v>80</x:v>
      </x:c>
      <x:c r="N9" s="360" t="str">
        <x:f>'Player Stats'!B12</x:f>
        <x:v>JJ Meakings</x:v>
      </x:c>
      <x:c r="O9" s="360" t="n">
        <x:f>COUNTIF('Feed - Tournaments'!$O$2:$O$7,N9)</x:f>
        <x:v>1</x:v>
      </x:c>
      <x:c r="P9" s="360"/>
      <x:c r="Q9" s="360"/>
      <x:c r="R9" s="360"/>
      <x:c r="S9" s="360"/>
      <x:c r="T9" s="360"/>
      <x:c r="U9" s="360"/>
      <x:c r="V9" s="360"/>
      <x:c r="W9" s="360"/>
      <x:c r="X9" s="360"/>
      <x:c r="Y9" s="360"/>
      <x:c r="Z9" s="360"/>
      <x:c r="AA9" s="360"/>
      <x:c r="AB9" s="360"/>
    </x:row>
    <x:row r="10">
      <x:c r="A10" s="344" t="str">
        <x:v>fourball-most-wins</x:v>
      </x:c>
      <x:c r="B10" s="344" t="str">
        <x:v>format</x:v>
      </x:c>
      <x:c r="C10" s="344" t="str">
        <x:v>Most Fourball Wins</x:v>
      </x:c>
      <x:c r="D10" s="344" t="str">
        <x:v>player</x:v>
      </x:c>
      <x:c r="E10" s="344" t="str">
        <x:f>INDEX($N$13:$N$20,MATCH(MAX($U$13:$U$20),$U$13:$U$20,0))</x:f>
        <x:v>red-sam</x:v>
      </x:c>
      <x:c r="F10" s="344" t="str">
        <x:f>INDEX($P$13:$P$20,MATCH(MAX($U$13:$U$20),$U$13:$U$20,0))</x:f>
        <x:v>red</x:v>
      </x:c>
      <x:c r="G10" s="344" t="str">
        <x:f>INDEX($O$13:$O$20,MATCH(MAX($U$13:$U$20),$U$13:$U$20,0))</x:f>
        <x:v>Sam Griffiths</x:v>
      </x:c>
      <x:c r="H10" s="358" t="n">
        <x:f>MAX($U$13:$U$20)</x:f>
        <x:v>3</x:v>
      </x:c>
      <x:c r="I10" s="344" t="str">
        <x:f>TEXT(H10,"0")&amp;" wins"</x:f>
        <x:v>3 wins</x:v>
      </x:c>
      <x:c r="J10" s="344"/>
      <x:c r="K10" s="344" t="str">
        <x:v>Player with the most historical fourball wins.</x:v>
      </x:c>
      <x:c r="L10" s="344" t="n">
        <x:v>90</x:v>
      </x:c>
      <x:c r="N10" s="360"/>
      <x:c r="O10" s="360"/>
      <x:c r="P10" s="360"/>
      <x:c r="Q10" s="360"/>
      <x:c r="R10" s="360"/>
      <x:c r="S10" s="360"/>
      <x:c r="T10" s="360"/>
      <x:c r="U10" s="360"/>
      <x:c r="V10" s="360"/>
      <x:c r="W10" s="360"/>
      <x:c r="X10" s="360"/>
      <x:c r="Y10" s="360"/>
      <x:c r="Z10" s="360"/>
      <x:c r="AA10" s="360"/>
      <x:c r="AB10" s="360"/>
    </x:row>
    <x:row r="11">
      <x:c r="A11" s="344" t="str">
        <x:v>fourball-best-pct</x:v>
      </x:c>
      <x:c r="B11" s="344" t="str">
        <x:v>format</x:v>
      </x:c>
      <x:c r="C11" s="344" t="str">
        <x:v>Best Fourball Win Percentage</x:v>
      </x:c>
      <x:c r="D11" s="344" t="str">
        <x:v>player</x:v>
      </x:c>
      <x:c r="E11" s="344" t="str">
        <x:f>INDEX($N$13:$N$20,MATCH(MAX($X$13:$X$20),$X$13:$X$20,0))</x:f>
        <x:v>red-sam</x:v>
      </x:c>
      <x:c r="F11" s="344" t="str">
        <x:f>INDEX($P$13:$P$20,MATCH(MAX($X$13:$X$20),$X$13:$X$20,0))</x:f>
        <x:v>red</x:v>
      </x:c>
      <x:c r="G11" s="344" t="str">
        <x:f>INDEX($O$13:$O$20,MATCH(MAX($X$13:$X$20),$X$13:$X$20,0))</x:f>
        <x:v>Sam Griffiths</x:v>
      </x:c>
      <x:c r="H11" s="356" t="n">
        <x:f>MAX($X$13:$X$20)</x:f>
        <x:v>0.6</x:v>
      </x:c>
      <x:c r="I11" s="344" t="str">
        <x:f>TEXT(H11,"0.0%")&amp;""</x:f>
        <x:v>60.0%</x:v>
      </x:c>
      <x:c r="J11" s="344"/>
      <x:c r="K11" s="344" t="str">
        <x:v>Player with the best fourball points percentage.</x:v>
      </x:c>
      <x:c r="L11" s="344" t="n">
        <x:v>100</x:v>
      </x:c>
      <x:c r="N11" s="360"/>
      <x:c r="O11" s="360"/>
      <x:c r="P11" s="360"/>
      <x:c r="Q11" s="360"/>
      <x:c r="R11" s="360"/>
      <x:c r="S11" s="360"/>
      <x:c r="T11" s="360"/>
      <x:c r="U11" s="360"/>
      <x:c r="V11" s="360"/>
      <x:c r="W11" s="360"/>
      <x:c r="X11" s="360"/>
      <x:c r="Y11" s="360"/>
      <x:c r="Z11" s="360"/>
      <x:c r="AA11" s="360"/>
      <x:c r="AB11" s="360"/>
    </x:row>
    <x:row r="12">
      <x:c r="A12" s="344" t="str">
        <x:v>scramble-most-wins</x:v>
      </x:c>
      <x:c r="B12" s="344" t="str">
        <x:v>format</x:v>
      </x:c>
      <x:c r="C12" s="344" t="str">
        <x:v>Most Scramble Wins</x:v>
      </x:c>
      <x:c r="D12" s="344" t="str">
        <x:v>player</x:v>
      </x:c>
      <x:c r="E12" s="344" t="str">
        <x:f>INDEX($N$13:$N$20,MATCH(MAX($Y$13:$Y$20),$Y$13:$Y$20,0))</x:f>
        <x:v>navy-steven</x:v>
      </x:c>
      <x:c r="F12" s="344" t="str">
        <x:f>INDEX($P$13:$P$20,MATCH(MAX($Y$13:$Y$20),$Y$13:$Y$20,0))</x:f>
        <x:v>navy</x:v>
      </x:c>
      <x:c r="G12" s="344" t="str">
        <x:f>INDEX($O$13:$O$20,MATCH(MAX($Y$13:$Y$20),$Y$13:$Y$20,0))</x:f>
        <x:v>Steven Wells</x:v>
      </x:c>
      <x:c r="H12" s="358" t="n">
        <x:f>MAX($Y$13:$Y$20)</x:f>
        <x:v>3</x:v>
      </x:c>
      <x:c r="I12" s="344" t="str">
        <x:f>TEXT(H12,"0")&amp;" wins"</x:f>
        <x:v>3 wins</x:v>
      </x:c>
      <x:c r="J12" s="344"/>
      <x:c r="K12" s="344" t="str">
        <x:v>Player with the most historical scramble wins.</x:v>
      </x:c>
      <x:c r="L12" s="344" t="n">
        <x:v>110</x:v>
      </x:c>
      <x:c r="N12" s="363" t="str">
        <x:v>player_id</x:v>
      </x:c>
      <x:c r="O12" s="363" t="str">
        <x:v>player_name</x:v>
      </x:c>
      <x:c r="P12" s="363" t="str">
        <x:v>team_id</x:v>
      </x:c>
      <x:c r="Q12" s="363" t="str">
        <x:v>singles_w</x:v>
      </x:c>
      <x:c r="R12" s="363" t="str">
        <x:v>singles_l</x:v>
      </x:c>
      <x:c r="S12" s="363" t="str">
        <x:v>singles_t</x:v>
      </x:c>
      <x:c r="T12" s="363" t="str">
        <x:v>singles_pct</x:v>
      </x:c>
      <x:c r="U12" s="363" t="str">
        <x:v>fourball_w</x:v>
      </x:c>
      <x:c r="V12" s="363" t="str">
        <x:v>fourball_l</x:v>
      </x:c>
      <x:c r="W12" s="363" t="str">
        <x:v>fourball_t</x:v>
      </x:c>
      <x:c r="X12" s="363" t="str">
        <x:v>fourball_pct</x:v>
      </x:c>
      <x:c r="Y12" s="363" t="str">
        <x:v>scramble_w</x:v>
      </x:c>
      <x:c r="Z12" s="363" t="str">
        <x:v>scramble_l</x:v>
      </x:c>
      <x:c r="AA12" s="363" t="str">
        <x:v>scramble_t</x:v>
      </x:c>
      <x:c r="AB12" s="363" t="str">
        <x:v>scramble_pct</x:v>
      </x:c>
    </x:row>
    <x:row r="13">
      <x:c r="A13" s="344" t="str">
        <x:v>scramble-best-pct</x:v>
      </x:c>
      <x:c r="B13" s="344" t="str">
        <x:v>format</x:v>
      </x:c>
      <x:c r="C13" s="344" t="str">
        <x:v>Best Scramble Win Percentage</x:v>
      </x:c>
      <x:c r="D13" s="344" t="str">
        <x:v>player</x:v>
      </x:c>
      <x:c r="E13" s="344" t="str">
        <x:f>INDEX($N$13:$N$20,MATCH(MAX($AB$13:$AB$20),$AB$13:$AB$20,0))</x:f>
        <x:v>navy-steven</x:v>
      </x:c>
      <x:c r="F13" s="344" t="str">
        <x:f>INDEX($P$13:$P$20,MATCH(MAX($AB$13:$AB$20),$AB$13:$AB$20,0))</x:f>
        <x:v>navy</x:v>
      </x:c>
      <x:c r="G13" s="344" t="str">
        <x:f>INDEX($O$13:$O$20,MATCH(MAX($AB$13:$AB$20),$AB$13:$AB$20,0))</x:f>
        <x:v>Steven Wells</x:v>
      </x:c>
      <x:c r="H13" s="356" t="n">
        <x:f>MAX($AB$13:$AB$20)</x:f>
        <x:v>0.75</x:v>
      </x:c>
      <x:c r="I13" s="344" t="str">
        <x:f>TEXT(H13,"0.0%")&amp;""</x:f>
        <x:v>75.0%</x:v>
      </x:c>
      <x:c r="J13" s="344"/>
      <x:c r="K13" s="344" t="str">
        <x:v>Player with the best scramble points percentage.</x:v>
      </x:c>
      <x:c r="L13" s="344" t="n">
        <x:v>120</x:v>
      </x:c>
      <x:c r="N13" s="360" t="str">
        <x:f>'Player Stats'!A5</x:f>
        <x:v>red-sam</x:v>
      </x:c>
      <x:c r="O13" s="360" t="str">
        <x:f>'Player Stats'!B5</x:f>
        <x:v>Sam Griffiths</x:v>
      </x:c>
      <x:c r="P13" s="360" t="str">
        <x:f>LOWER('Player Stats'!C5)</x:f>
        <x:v>red</x:v>
      </x:c>
      <x:c r="Q13" s="360" t="n">
        <x:f>COUNTIFS('Record Book'!$C$29:$C$196,"Singles",'Record Book'!$E$29:$E$196,$O13,'Record Book'!$I$29:$I$196,"W")</x:f>
        <x:v>3</x:v>
      </x:c>
      <x:c r="R13" s="360" t="n">
        <x:f>COUNTIFS('Record Book'!$C$29:$C$196,"Singles",'Record Book'!$E$29:$E$196,$O13,'Record Book'!$I$29:$I$196,"L")</x:f>
        <x:v>1</x:v>
      </x:c>
      <x:c r="S13" s="360" t="n">
        <x:f>COUNTIFS('Record Book'!$C$29:$C$196,"Singles",'Record Book'!$E$29:$E$196,$O13,'Record Book'!$I$29:$I$196,"T")</x:f>
        <x:v>1</x:v>
      </x:c>
      <x:c r="T13" s="360" t="n">
        <x:f>IF(SUM(Q13:S13)=0,0,(Q13+0.5*S13)/SUM(Q13:S13))</x:f>
        <x:v>0.7</x:v>
      </x:c>
      <x:c r="U13" s="360" t="n">
        <x:f>COUNTIFS('Record Book'!$C$29:$C$196,"Fourball",'Record Book'!$E$29:$E$196,$O13,'Record Book'!$I$29:$I$196,"W")</x:f>
        <x:v>3</x:v>
      </x:c>
      <x:c r="V13" s="360" t="n">
        <x:f>COUNTIFS('Record Book'!$C$29:$C$196,"Fourball",'Record Book'!$E$29:$E$196,$O13,'Record Book'!$I$29:$I$196,"L")</x:f>
        <x:v>2</x:v>
      </x:c>
      <x:c r="W13" s="360" t="n">
        <x:f>COUNTIFS('Record Book'!$C$29:$C$196,"Fourball",'Record Book'!$E$29:$E$196,$O13,'Record Book'!$I$29:$I$196,"T")</x:f>
        <x:v>0</x:v>
      </x:c>
      <x:c r="X13" s="360" t="n">
        <x:f>IF(SUM(U13:W13)=0,0,(U13+0.5*W13)/SUM(U13:W13))</x:f>
        <x:v>0.6</x:v>
      </x:c>
      <x:c r="Y13" s="360" t="n">
        <x:f>COUNTIFS('Record Book'!$C$29:$C$196,"Scramble",'Record Book'!$E$29:$E$196,$O13,'Record Book'!$I$29:$I$196,"W")</x:f>
        <x:v>2</x:v>
      </x:c>
      <x:c r="Z13" s="360" t="n">
        <x:f>COUNTIFS('Record Book'!$C$29:$C$196,"Scramble",'Record Book'!$E$29:$E$196,$O13,'Record Book'!$I$29:$I$196,"L")</x:f>
        <x:v>2</x:v>
      </x:c>
      <x:c r="AA13" s="360" t="n">
        <x:f>COUNTIFS('Record Book'!$C$29:$C$196,"Scramble",'Record Book'!$E$29:$E$196,$O13,'Record Book'!$I$29:$I$196,"T")</x:f>
        <x:v>0</x:v>
      </x:c>
      <x:c r="AB13" s="360" t="n">
        <x:f>IF(SUM(Y13:AA13)=0,0,(Y13+0.5*AA13)/SUM(Y13:AA13))</x:f>
        <x:v>0.5</x:v>
      </x:c>
    </x:row>
    <x:row r="14">
      <x:c r="N14" s="360" t="str">
        <x:f>'Player Stats'!A6</x:f>
        <x:v>red-kevin</x:v>
      </x:c>
      <x:c r="O14" s="360" t="str">
        <x:f>'Player Stats'!B6</x:f>
        <x:v>Kevin Catliff</x:v>
      </x:c>
      <x:c r="P14" s="360" t="str">
        <x:f>LOWER('Player Stats'!C6)</x:f>
        <x:v>red</x:v>
      </x:c>
      <x:c r="Q14" s="360" t="n">
        <x:f>COUNTIFS('Record Book'!$C$29:$C$196,"Singles",'Record Book'!$E$29:$E$196,$O14,'Record Book'!$I$29:$I$196,"W")</x:f>
        <x:v>3</x:v>
      </x:c>
      <x:c r="R14" s="360" t="n">
        <x:f>COUNTIFS('Record Book'!$C$29:$C$196,"Singles",'Record Book'!$E$29:$E$196,$O14,'Record Book'!$I$29:$I$196,"L")</x:f>
        <x:v>1</x:v>
      </x:c>
      <x:c r="S14" s="360" t="n">
        <x:f>COUNTIFS('Record Book'!$C$29:$C$196,"Singles",'Record Book'!$E$29:$E$196,$O14,'Record Book'!$I$29:$I$196,"T")</x:f>
        <x:v>1</x:v>
      </x:c>
      <x:c r="T14" s="360" t="n">
        <x:f>IF(SUM(Q14:S14)=0,0,(Q14+0.5*S14)/SUM(Q14:S14))</x:f>
        <x:v>0.7</x:v>
      </x:c>
      <x:c r="U14" s="360" t="n">
        <x:f>COUNTIFS('Record Book'!$C$29:$C$196,"Fourball",'Record Book'!$E$29:$E$196,$O14,'Record Book'!$I$29:$I$196,"W")</x:f>
        <x:v>1</x:v>
      </x:c>
      <x:c r="V14" s="360" t="n">
        <x:f>COUNTIFS('Record Book'!$C$29:$C$196,"Fourball",'Record Book'!$E$29:$E$196,$O14,'Record Book'!$I$29:$I$196,"L")</x:f>
        <x:v>4</x:v>
      </x:c>
      <x:c r="W14" s="360" t="n">
        <x:f>COUNTIFS('Record Book'!$C$29:$C$196,"Fourball",'Record Book'!$E$29:$E$196,$O14,'Record Book'!$I$29:$I$196,"T")</x:f>
        <x:v>0</x:v>
      </x:c>
      <x:c r="X14" s="360" t="n">
        <x:f>IF(SUM(U14:W14)=0,0,(U14+0.5*W14)/SUM(U14:W14))</x:f>
        <x:v>0.2</x:v>
      </x:c>
      <x:c r="Y14" s="360" t="n">
        <x:f>COUNTIFS('Record Book'!$C$29:$C$196,"Scramble",'Record Book'!$E$29:$E$196,$O14,'Record Book'!$I$29:$I$196,"W")</x:f>
        <x:v>2</x:v>
      </x:c>
      <x:c r="Z14" s="360" t="n">
        <x:f>COUNTIFS('Record Book'!$C$29:$C$196,"Scramble",'Record Book'!$E$29:$E$196,$O14,'Record Book'!$I$29:$I$196,"L")</x:f>
        <x:v>2</x:v>
      </x:c>
      <x:c r="AA14" s="360" t="n">
        <x:f>COUNTIFS('Record Book'!$C$29:$C$196,"Scramble",'Record Book'!$E$29:$E$196,$O14,'Record Book'!$I$29:$I$196,"T")</x:f>
        <x:v>0</x:v>
      </x:c>
      <x:c r="AB14" s="360" t="n">
        <x:f>IF(SUM(Y14:AA14)=0,0,(Y14+0.5*AA14)/SUM(Y14:AA14))</x:f>
        <x:v>0.5</x:v>
      </x:c>
    </x:row>
    <x:row r="15">
      <x:c r="N15" s="360" t="str">
        <x:f>'Player Stats'!A7</x:f>
        <x:v>red-sean</x:v>
      </x:c>
      <x:c r="O15" s="360" t="str">
        <x:f>'Player Stats'!B7</x:f>
        <x:v>Sean Bromley</x:v>
      </x:c>
      <x:c r="P15" s="360" t="str">
        <x:f>LOWER('Player Stats'!C7)</x:f>
        <x:v>red</x:v>
      </x:c>
      <x:c r="Q15" s="360" t="n">
        <x:f>COUNTIFS('Record Book'!$C$29:$C$196,"Singles",'Record Book'!$E$29:$E$196,$O15,'Record Book'!$I$29:$I$196,"W")</x:f>
        <x:v>1</x:v>
      </x:c>
      <x:c r="R15" s="360" t="n">
        <x:f>COUNTIFS('Record Book'!$C$29:$C$196,"Singles",'Record Book'!$E$29:$E$196,$O15,'Record Book'!$I$29:$I$196,"L")</x:f>
        <x:v>4</x:v>
      </x:c>
      <x:c r="S15" s="360" t="n">
        <x:f>COUNTIFS('Record Book'!$C$29:$C$196,"Singles",'Record Book'!$E$29:$E$196,$O15,'Record Book'!$I$29:$I$196,"T")</x:f>
        <x:v>0</x:v>
      </x:c>
      <x:c r="T15" s="360" t="n">
        <x:f>IF(SUM(Q15:S15)=0,0,(Q15+0.5*S15)/SUM(Q15:S15))</x:f>
        <x:v>0.2</x:v>
      </x:c>
      <x:c r="U15" s="360" t="n">
        <x:f>COUNTIFS('Record Book'!$C$29:$C$196,"Fourball",'Record Book'!$E$29:$E$196,$O15,'Record Book'!$I$29:$I$196,"W")</x:f>
        <x:v>2</x:v>
      </x:c>
      <x:c r="V15" s="360" t="n">
        <x:f>COUNTIFS('Record Book'!$C$29:$C$196,"Fourball",'Record Book'!$E$29:$E$196,$O15,'Record Book'!$I$29:$I$196,"L")</x:f>
        <x:v>3</x:v>
      </x:c>
      <x:c r="W15" s="360" t="n">
        <x:f>COUNTIFS('Record Book'!$C$29:$C$196,"Fourball",'Record Book'!$E$29:$E$196,$O15,'Record Book'!$I$29:$I$196,"T")</x:f>
        <x:v>0</x:v>
      </x:c>
      <x:c r="X15" s="360" t="n">
        <x:f>IF(SUM(U15:W15)=0,0,(U15+0.5*W15)/SUM(U15:W15))</x:f>
        <x:v>0.4</x:v>
      </x:c>
      <x:c r="Y15" s="360" t="n">
        <x:f>COUNTIFS('Record Book'!$C$29:$C$196,"Scramble",'Record Book'!$E$29:$E$196,$O15,'Record Book'!$I$29:$I$196,"W")</x:f>
        <x:v>2</x:v>
      </x:c>
      <x:c r="Z15" s="360" t="n">
        <x:f>COUNTIFS('Record Book'!$C$29:$C$196,"Scramble",'Record Book'!$E$29:$E$196,$O15,'Record Book'!$I$29:$I$196,"L")</x:f>
        <x:v>2</x:v>
      </x:c>
      <x:c r="AA15" s="360" t="n">
        <x:f>COUNTIFS('Record Book'!$C$29:$C$196,"Scramble",'Record Book'!$E$29:$E$196,$O15,'Record Book'!$I$29:$I$196,"T")</x:f>
        <x:v>0</x:v>
      </x:c>
      <x:c r="AB15" s="360" t="n">
        <x:f>IF(SUM(Y15:AA15)=0,0,(Y15+0.5*AA15)/SUM(Y15:AA15))</x:f>
        <x:v>0.5</x:v>
      </x:c>
    </x:row>
    <x:row r="16">
      <x:c r="N16" s="360" t="str">
        <x:f>'Player Stats'!A8</x:f>
        <x:v>red-dylan</x:v>
      </x:c>
      <x:c r="O16" s="360" t="str">
        <x:f>'Player Stats'!B8</x:f>
        <x:v>Dylan Bradley</x:v>
      </x:c>
      <x:c r="P16" s="360" t="str">
        <x:f>LOWER('Player Stats'!C8)</x:f>
        <x:v>red</x:v>
      </x:c>
      <x:c r="Q16" s="360" t="n">
        <x:f>COUNTIFS('Record Book'!$C$29:$C$196,"Singles",'Record Book'!$E$29:$E$196,$O16,'Record Book'!$I$29:$I$196,"W")</x:f>
        <x:v>2</x:v>
      </x:c>
      <x:c r="R16" s="360" t="n">
        <x:f>COUNTIFS('Record Book'!$C$29:$C$196,"Singles",'Record Book'!$E$29:$E$196,$O16,'Record Book'!$I$29:$I$196,"L")</x:f>
        <x:v>3</x:v>
      </x:c>
      <x:c r="S16" s="360" t="n">
        <x:f>COUNTIFS('Record Book'!$C$29:$C$196,"Singles",'Record Book'!$E$29:$E$196,$O16,'Record Book'!$I$29:$I$196,"T")</x:f>
        <x:v>0</x:v>
      </x:c>
      <x:c r="T16" s="360" t="n">
        <x:f>IF(SUM(Q16:S16)=0,0,(Q16+0.5*S16)/SUM(Q16:S16))</x:f>
        <x:v>0.4</x:v>
      </x:c>
      <x:c r="U16" s="360" t="n">
        <x:f>COUNTIFS('Record Book'!$C$29:$C$196,"Fourball",'Record Book'!$E$29:$E$196,$O16,'Record Book'!$I$29:$I$196,"W")</x:f>
        <x:v>2</x:v>
      </x:c>
      <x:c r="V16" s="360" t="n">
        <x:f>COUNTIFS('Record Book'!$C$29:$C$196,"Fourball",'Record Book'!$E$29:$E$196,$O16,'Record Book'!$I$29:$I$196,"L")</x:f>
        <x:v>3</x:v>
      </x:c>
      <x:c r="W16" s="360" t="n">
        <x:f>COUNTIFS('Record Book'!$C$29:$C$196,"Fourball",'Record Book'!$E$29:$E$196,$O16,'Record Book'!$I$29:$I$196,"T")</x:f>
        <x:v>0</x:v>
      </x:c>
      <x:c r="X16" s="360" t="n">
        <x:f>IF(SUM(U16:W16)=0,0,(U16+0.5*W16)/SUM(U16:W16))</x:f>
        <x:v>0.4</x:v>
      </x:c>
      <x:c r="Y16" s="360" t="n">
        <x:f>COUNTIFS('Record Book'!$C$29:$C$196,"Scramble",'Record Book'!$E$29:$E$196,$O16,'Record Book'!$I$29:$I$196,"W")</x:f>
        <x:v>0</x:v>
      </x:c>
      <x:c r="Z16" s="360" t="n">
        <x:f>COUNTIFS('Record Book'!$C$29:$C$196,"Scramble",'Record Book'!$E$29:$E$196,$O16,'Record Book'!$I$29:$I$196,"L")</x:f>
        <x:v>4</x:v>
      </x:c>
      <x:c r="AA16" s="360" t="n">
        <x:f>COUNTIFS('Record Book'!$C$29:$C$196,"Scramble",'Record Book'!$E$29:$E$196,$O16,'Record Book'!$I$29:$I$196,"T")</x:f>
        <x:v>0</x:v>
      </x:c>
      <x:c r="AB16" s="360" t="n">
        <x:f>IF(SUM(Y16:AA16)=0,0,(Y16+0.5*AA16)/SUM(Y16:AA16))</x:f>
        <x:v>0</x:v>
      </x:c>
    </x:row>
    <x:row r="17">
      <x:c r="N17" s="360" t="str">
        <x:f>'Player Stats'!A9</x:f>
        <x:v>navy-eric</x:v>
      </x:c>
      <x:c r="O17" s="360" t="str">
        <x:f>'Player Stats'!B9</x:f>
        <x:v>Eric Bleim</x:v>
      </x:c>
      <x:c r="P17" s="360" t="str">
        <x:f>LOWER('Player Stats'!C9)</x:f>
        <x:v>navy</x:v>
      </x:c>
      <x:c r="Q17" s="360" t="n">
        <x:f>COUNTIFS('Record Book'!$C$29:$C$196,"Singles",'Record Book'!$E$29:$E$196,$O17,'Record Book'!$I$29:$I$196,"W")</x:f>
        <x:v>2</x:v>
      </x:c>
      <x:c r="R17" s="360" t="n">
        <x:f>COUNTIFS('Record Book'!$C$29:$C$196,"Singles",'Record Book'!$E$29:$E$196,$O17,'Record Book'!$I$29:$I$196,"L")</x:f>
        <x:v>3</x:v>
      </x:c>
      <x:c r="S17" s="360" t="n">
        <x:f>COUNTIFS('Record Book'!$C$29:$C$196,"Singles",'Record Book'!$E$29:$E$196,$O17,'Record Book'!$I$29:$I$196,"T")</x:f>
        <x:v>0</x:v>
      </x:c>
      <x:c r="T17" s="360" t="n">
        <x:f>IF(SUM(Q17:S17)=0,0,(Q17+0.5*S17)/SUM(Q17:S17))</x:f>
        <x:v>0.4</x:v>
      </x:c>
      <x:c r="U17" s="360" t="n">
        <x:f>COUNTIFS('Record Book'!$C$29:$C$196,"Fourball",'Record Book'!$E$29:$E$196,$O17,'Record Book'!$I$29:$I$196,"W")</x:f>
        <x:v>3</x:v>
      </x:c>
      <x:c r="V17" s="360" t="n">
        <x:f>COUNTIFS('Record Book'!$C$29:$C$196,"Fourball",'Record Book'!$E$29:$E$196,$O17,'Record Book'!$I$29:$I$196,"L")</x:f>
        <x:v>2</x:v>
      </x:c>
      <x:c r="W17" s="360" t="n">
        <x:f>COUNTIFS('Record Book'!$C$29:$C$196,"Fourball",'Record Book'!$E$29:$E$196,$O17,'Record Book'!$I$29:$I$196,"T")</x:f>
        <x:v>0</x:v>
      </x:c>
      <x:c r="X17" s="360" t="n">
        <x:f>IF(SUM(U17:W17)=0,0,(U17+0.5*W17)/SUM(U17:W17))</x:f>
        <x:v>0.6</x:v>
      </x:c>
      <x:c r="Y17" s="360" t="n">
        <x:f>COUNTIFS('Record Book'!$C$29:$C$196,"Scramble",'Record Book'!$E$29:$E$196,$O17,'Record Book'!$I$29:$I$196,"W")</x:f>
        <x:v>2</x:v>
      </x:c>
      <x:c r="Z17" s="360" t="n">
        <x:f>COUNTIFS('Record Book'!$C$29:$C$196,"Scramble",'Record Book'!$E$29:$E$196,$O17,'Record Book'!$I$29:$I$196,"L")</x:f>
        <x:v>2</x:v>
      </x:c>
      <x:c r="AA17" s="360" t="n">
        <x:f>COUNTIFS('Record Book'!$C$29:$C$196,"Scramble",'Record Book'!$E$29:$E$196,$O17,'Record Book'!$I$29:$I$196,"T")</x:f>
        <x:v>0</x:v>
      </x:c>
      <x:c r="AB17" s="360" t="n">
        <x:f>IF(SUM(Y17:AA17)=0,0,(Y17+0.5*AA17)/SUM(Y17:AA17))</x:f>
        <x:v>0.5</x:v>
      </x:c>
    </x:row>
    <x:row r="18">
      <x:c r="N18" s="360" t="str">
        <x:f>'Player Stats'!A10</x:f>
        <x:v>navy-george</x:v>
      </x:c>
      <x:c r="O18" s="360" t="str">
        <x:f>'Player Stats'!B10</x:f>
        <x:v>George Collister</x:v>
      </x:c>
      <x:c r="P18" s="360" t="str">
        <x:f>LOWER('Player Stats'!C10)</x:f>
        <x:v>navy</x:v>
      </x:c>
      <x:c r="Q18" s="360" t="n">
        <x:f>COUNTIFS('Record Book'!$C$29:$C$196,"Singles",'Record Book'!$E$29:$E$196,$O18,'Record Book'!$I$29:$I$196,"W")</x:f>
        <x:v>3</x:v>
      </x:c>
      <x:c r="R18" s="360" t="n">
        <x:f>COUNTIFS('Record Book'!$C$29:$C$196,"Singles",'Record Book'!$E$29:$E$196,$O18,'Record Book'!$I$29:$I$196,"L")</x:f>
        <x:v>2</x:v>
      </x:c>
      <x:c r="S18" s="360" t="n">
        <x:f>COUNTIFS('Record Book'!$C$29:$C$196,"Singles",'Record Book'!$E$29:$E$196,$O18,'Record Book'!$I$29:$I$196,"T")</x:f>
        <x:v>0</x:v>
      </x:c>
      <x:c r="T18" s="360" t="n">
        <x:f>IF(SUM(Q18:S18)=0,0,(Q18+0.5*S18)/SUM(Q18:S18))</x:f>
        <x:v>0.6</x:v>
      </x:c>
      <x:c r="U18" s="360" t="n">
        <x:f>COUNTIFS('Record Book'!$C$29:$C$196,"Fourball",'Record Book'!$E$29:$E$196,$O18,'Record Book'!$I$29:$I$196,"W")</x:f>
        <x:v>3</x:v>
      </x:c>
      <x:c r="V18" s="360" t="n">
        <x:f>COUNTIFS('Record Book'!$C$29:$C$196,"Fourball",'Record Book'!$E$29:$E$196,$O18,'Record Book'!$I$29:$I$196,"L")</x:f>
        <x:v>2</x:v>
      </x:c>
      <x:c r="W18" s="360" t="n">
        <x:f>COUNTIFS('Record Book'!$C$29:$C$196,"Fourball",'Record Book'!$E$29:$E$196,$O18,'Record Book'!$I$29:$I$196,"T")</x:f>
        <x:v>0</x:v>
      </x:c>
      <x:c r="X18" s="360" t="n">
        <x:f>IF(SUM(U18:W18)=0,0,(U18+0.5*W18)/SUM(U18:W18))</x:f>
        <x:v>0.6</x:v>
      </x:c>
      <x:c r="Y18" s="360" t="n">
        <x:f>COUNTIFS('Record Book'!$C$29:$C$196,"Scramble",'Record Book'!$E$29:$E$196,$O18,'Record Book'!$I$29:$I$196,"W")</x:f>
        <x:v>2</x:v>
      </x:c>
      <x:c r="Z18" s="360" t="n">
        <x:f>COUNTIFS('Record Book'!$C$29:$C$196,"Scramble",'Record Book'!$E$29:$E$196,$O18,'Record Book'!$I$29:$I$196,"L")</x:f>
        <x:v>2</x:v>
      </x:c>
      <x:c r="AA18" s="360" t="n">
        <x:f>COUNTIFS('Record Book'!$C$29:$C$196,"Scramble",'Record Book'!$E$29:$E$196,$O18,'Record Book'!$I$29:$I$196,"T")</x:f>
        <x:v>0</x:v>
      </x:c>
      <x:c r="AB18" s="360" t="n">
        <x:f>IF(SUM(Y18:AA18)=0,0,(Y18+0.5*AA18)/SUM(Y18:AA18))</x:f>
        <x:v>0.5</x:v>
      </x:c>
    </x:row>
    <x:row r="19">
      <x:c r="N19" s="360" t="str">
        <x:f>'Player Stats'!A11</x:f>
        <x:v>navy-steven</x:v>
      </x:c>
      <x:c r="O19" s="360" t="str">
        <x:f>'Player Stats'!B11</x:f>
        <x:v>Steven Wells</x:v>
      </x:c>
      <x:c r="P19" s="360" t="str">
        <x:f>LOWER('Player Stats'!C11)</x:f>
        <x:v>navy</x:v>
      </x:c>
      <x:c r="Q19" s="360" t="n">
        <x:f>COUNTIFS('Record Book'!$C$29:$C$196,"Singles",'Record Book'!$E$29:$E$196,$O19,'Record Book'!$I$29:$I$196,"W")</x:f>
        <x:v>3</x:v>
      </x:c>
      <x:c r="R19" s="360" t="n">
        <x:f>COUNTIFS('Record Book'!$C$29:$C$196,"Singles",'Record Book'!$E$29:$E$196,$O19,'Record Book'!$I$29:$I$196,"L")</x:f>
        <x:v>2</x:v>
      </x:c>
      <x:c r="S19" s="360" t="n">
        <x:f>COUNTIFS('Record Book'!$C$29:$C$196,"Singles",'Record Book'!$E$29:$E$196,$O19,'Record Book'!$I$29:$I$196,"T")</x:f>
        <x:v>0</x:v>
      </x:c>
      <x:c r="T19" s="360" t="n">
        <x:f>IF(SUM(Q19:S19)=0,0,(Q19+0.5*S19)/SUM(Q19:S19))</x:f>
        <x:v>0.6</x:v>
      </x:c>
      <x:c r="U19" s="360" t="n">
        <x:f>COUNTIFS('Record Book'!$C$29:$C$196,"Fourball",'Record Book'!$E$29:$E$196,$O19,'Record Book'!$I$29:$I$196,"W")</x:f>
        <x:v>3</x:v>
      </x:c>
      <x:c r="V19" s="360" t="n">
        <x:f>COUNTIFS('Record Book'!$C$29:$C$196,"Fourball",'Record Book'!$E$29:$E$196,$O19,'Record Book'!$I$29:$I$196,"L")</x:f>
        <x:v>2</x:v>
      </x:c>
      <x:c r="W19" s="360" t="n">
        <x:f>COUNTIFS('Record Book'!$C$29:$C$196,"Fourball",'Record Book'!$E$29:$E$196,$O19,'Record Book'!$I$29:$I$196,"T")</x:f>
        <x:v>0</x:v>
      </x:c>
      <x:c r="X19" s="360" t="n">
        <x:f>IF(SUM(U19:W19)=0,0,(U19+0.5*W19)/SUM(U19:W19))</x:f>
        <x:v>0.6</x:v>
      </x:c>
      <x:c r="Y19" s="360" t="n">
        <x:f>COUNTIFS('Record Book'!$C$29:$C$196,"Scramble",'Record Book'!$E$29:$E$196,$O19,'Record Book'!$I$29:$I$196,"W")</x:f>
        <x:v>3</x:v>
      </x:c>
      <x:c r="Z19" s="360" t="n">
        <x:f>COUNTIFS('Record Book'!$C$29:$C$196,"Scramble",'Record Book'!$E$29:$E$196,$O19,'Record Book'!$I$29:$I$196,"L")</x:f>
        <x:v>1</x:v>
      </x:c>
      <x:c r="AA19" s="360" t="n">
        <x:f>COUNTIFS('Record Book'!$C$29:$C$196,"Scramble",'Record Book'!$E$29:$E$196,$O19,'Record Book'!$I$29:$I$196,"T")</x:f>
        <x:v>0</x:v>
      </x:c>
      <x:c r="AB19" s="360" t="n">
        <x:f>IF(SUM(Y19:AA19)=0,0,(Y19+0.5*AA19)/SUM(Y19:AA19))</x:f>
        <x:v>0.75</x:v>
      </x:c>
    </x:row>
    <x:row r="20">
      <x:c r="N20" s="360" t="str">
        <x:f>'Player Stats'!A12</x:f>
        <x:v>navy-jj</x:v>
      </x:c>
      <x:c r="O20" s="360" t="str">
        <x:f>'Player Stats'!B12</x:f>
        <x:v>JJ Meakings</x:v>
      </x:c>
      <x:c r="P20" s="360" t="str">
        <x:f>LOWER('Player Stats'!C12)</x:f>
        <x:v>navy</x:v>
      </x:c>
      <x:c r="Q20" s="360" t="n">
        <x:f>COUNTIFS('Record Book'!$C$29:$C$196,"Singles",'Record Book'!$E$29:$E$196,$O20,'Record Book'!$I$29:$I$196,"W")</x:f>
        <x:v>1</x:v>
      </x:c>
      <x:c r="R20" s="360" t="n">
        <x:f>COUNTIFS('Record Book'!$C$29:$C$196,"Singles",'Record Book'!$E$29:$E$196,$O20,'Record Book'!$I$29:$I$196,"L")</x:f>
        <x:v>2</x:v>
      </x:c>
      <x:c r="S20" s="360" t="n">
        <x:f>COUNTIFS('Record Book'!$C$29:$C$196,"Singles",'Record Book'!$E$29:$E$196,$O20,'Record Book'!$I$29:$I$196,"T")</x:f>
        <x:v>2</x:v>
      </x:c>
      <x:c r="T20" s="360" t="n">
        <x:f>IF(SUM(Q20:S20)=0,0,(Q20+0.5*S20)/SUM(Q20:S20))</x:f>
        <x:v>0.4</x:v>
      </x:c>
      <x:c r="U20" s="360" t="n">
        <x:f>COUNTIFS('Record Book'!$C$29:$C$196,"Fourball",'Record Book'!$E$29:$E$196,$O20,'Record Book'!$I$29:$I$196,"W")</x:f>
        <x:v>3</x:v>
      </x:c>
      <x:c r="V20" s="360" t="n">
        <x:f>COUNTIFS('Record Book'!$C$29:$C$196,"Fourball",'Record Book'!$E$29:$E$196,$O20,'Record Book'!$I$29:$I$196,"L")</x:f>
        <x:v>2</x:v>
      </x:c>
      <x:c r="W20" s="360" t="n">
        <x:f>COUNTIFS('Record Book'!$C$29:$C$196,"Fourball",'Record Book'!$E$29:$E$196,$O20,'Record Book'!$I$29:$I$196,"T")</x:f>
        <x:v>0</x:v>
      </x:c>
      <x:c r="X20" s="360" t="n">
        <x:f>IF(SUM(U20:W20)=0,0,(U20+0.5*W20)/SUM(U20:W20))</x:f>
        <x:v>0.6</x:v>
      </x:c>
      <x:c r="Y20" s="360" t="n">
        <x:f>COUNTIFS('Record Book'!$C$29:$C$196,"Scramble",'Record Book'!$E$29:$E$196,$O20,'Record Book'!$I$29:$I$196,"W")</x:f>
        <x:v>3</x:v>
      </x:c>
      <x:c r="Z20" s="360" t="n">
        <x:f>COUNTIFS('Record Book'!$C$29:$C$196,"Scramble",'Record Book'!$E$29:$E$196,$O20,'Record Book'!$I$29:$I$196,"L")</x:f>
        <x:v>1</x:v>
      </x:c>
      <x:c r="AA20" s="360" t="n">
        <x:f>COUNTIFS('Record Book'!$C$29:$C$196,"Scramble",'Record Book'!$E$29:$E$196,$O20,'Record Book'!$I$29:$I$196,"T")</x:f>
        <x:v>0</x:v>
      </x:c>
      <x:c r="AB20" s="360" t="n">
        <x:f>IF(SUM(Y20:AA20)=0,0,(Y20+0.5*AA20)/SUM(Y20:AA20))</x:f>
        <x:v>0.75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2.75"/>
  <x:cols>
    <x:col min="1" max="1" width="28" customWidth="1"/>
    <x:col min="2" max="2" width="24" customWidth="1"/>
    <x:col min="3" max="3" width="52" customWidth="1"/>
  </x:cols>
  <x:sheetData>
    <x:row r="1">
      <x:c r="A1" s="154" t="s">
        <x:v>284</x:v>
      </x:c>
      <x:c r="B1" s="154" t="s">
        <x:v>285</x:v>
      </x:c>
      <x:c r="C1" s="154" t="s">
        <x:v>286</x:v>
      </x:c>
    </x:row>
    <x:row r="2">
      <x:c r="A2" s="146" t="s">
        <x:v>287</x:v>
      </x:c>
      <x:c r="B2" s="146" t="s">
        <x:v>280</x:v>
      </x:c>
      <x:c r="C2" s="146" t="s">
        <x:v>288</x:v>
      </x:c>
    </x:row>
    <x:row r="3">
      <x:c r="A3" s="146" t="s">
        <x:v>289</x:v>
      </x:c>
      <x:c r="B3" s="146" t="s">
        <x:v>290</x:v>
      </x:c>
      <x:c r="C3" s="146" t="s">
        <x:v>291</x:v>
      </x:c>
    </x:row>
    <x:row r="4">
      <x:c r="A4" s="146" t="s">
        <x:v>292</x:v>
      </x:c>
      <x:c r="B4" s="157" t="b">
        <x:v>1</x:v>
      </x:c>
      <x:c r="C4" s="146" t="s">
        <x:v>293</x:v>
      </x:c>
    </x:row>
    <x:row r="5">
      <x:c r="A5" s="146" t="s">
        <x:v>294</x:v>
      </x:c>
      <x:c r="B5" s="146" t="s">
        <x:v>295</x:v>
      </x:c>
      <x:c r="C5" s="146" t="s">
        <x:v>296</x:v>
      </x:c>
    </x:row>
    <x:row r="6">
      <x:c r="A6" s="146" t="s">
        <x:v>297</x:v>
      </x:c>
      <x:c r="B6" s="146" t="s">
        <x:v>298</x:v>
      </x:c>
      <x:c r="C6" s="146" t="s">
        <x:v>299</x:v>
      </x:c>
    </x:row>
    <x:row r="7">
      <x:c r="A7" s="146" t="s">
        <x:v>300</x:v>
      </x:c>
      <x:c r="B7" s="146" t="s">
        <x:v>301</x:v>
      </x:c>
      <x:c r="C7" s="146" t="s">
        <x:v>302</x:v>
      </x:c>
    </x:row>
    <x:row r="8">
      <x:c r="A8" s="146" t="s">
        <x:v>277</x:v>
      </x:c>
      <x:c r="B8" s="146" t="n">
        <x:f>'Live Leaderboard'!B3</x:f>
        <x:v>15.5</x:v>
      </x:c>
      <x:c r="C8" s="146" t="s">
        <x:v>303</x:v>
      </x:c>
    </x:row>
    <x:row r="9">
      <x:c r="A9" s="146" t="s">
        <x:v>304</x:v>
      </x:c>
      <x:c r="B9" s="146" t="n">
        <x:f>'Live Leaderboard'!B4</x:f>
        <x:v>30</x:v>
      </x:c>
      <x:c r="C9" s="146" t="s">
        <x:v>305</x:v>
      </x:c>
    </x:row>
    <x:row r="10">
      <x:c r="A10" s="146" t="s">
        <x:v>306</x:v>
      </x:c>
      <x:c r="B10" s="146" t="str">
        <x:v>3.0</x:v>
      </x:c>
      <x:c r="C10" s="146" t="s">
        <x:v>307</x:v>
      </x:c>
    </x:row>
  </x:sheetData>
  <x:pageMargins left="0.7" right="0.7" top="0.75" bottom="0.75" header="0.3" footer="0.3"/>
</x:worksheet>
</file>