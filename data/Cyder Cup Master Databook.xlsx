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Development\cyder-cup-digital-platform\data\"/>
    </mc:Choice>
  </mc:AlternateContent>
  <xr:revisionPtr revIDLastSave="0" documentId="13_ncr:1_{A211AF53-C171-40B4-8A9B-4B3BA110D436}" xr6:coauthVersionLast="47" xr6:coauthVersionMax="47" xr10:uidLastSave="{00000000-0000-0000-0000-000000000000}"/>
  <bookViews>
    <workbookView xWindow="-28920" yWindow="3135" windowWidth="29040" windowHeight="15720" tabRatio="761" activeTab="3" xr2:uid="{00000000-000D-0000-FFFF-FFFF00000000}"/>
  </bookViews>
  <sheets>
    <sheet name="Live Leaderboard" sheetId="1" r:id="rId1"/>
    <sheet name="Record Book" sheetId="2" r:id="rId2"/>
    <sheet name="Player Stats" sheetId="3" r:id="rId3"/>
    <sheet name="Feed - Matches" sheetId="4" r:id="rId4"/>
    <sheet name="Feed - Players" sheetId="5" r:id="rId5"/>
    <sheet name="Feed - Tournaments" sheetId="6" r:id="rId6"/>
    <sheet name="Feed - Records" sheetId="7" r:id="rId7"/>
    <sheet name="Feed - Site Config" sheetId="8" r:id="rId8"/>
    <sheet name="Control Center" sheetId="9" r:id="rId9"/>
    <sheet name="Feed - Match History" sheetId="10" r:id="rId10"/>
    <sheet name="Feed - Page Media" sheetId="14" r:id="rId11"/>
    <sheet name="Feed - Awards" sheetId="11" r:id="rId12"/>
    <sheet name="Feed - Media" sheetId="12" r:id="rId13"/>
    <sheet name="Data Dictionary" sheetId="13"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4" l="1"/>
  <c r="A2" i="4"/>
  <c r="A14" i="4"/>
  <c r="A13" i="4"/>
  <c r="A12" i="4"/>
  <c r="A11" i="4"/>
  <c r="A10" i="4"/>
  <c r="W14" i="4"/>
  <c r="W13" i="4"/>
  <c r="W12" i="4"/>
  <c r="W11" i="4"/>
  <c r="W10" i="4"/>
  <c r="V14" i="4"/>
  <c r="V13" i="4"/>
  <c r="V12" i="4"/>
  <c r="V11" i="4"/>
  <c r="V10" i="4"/>
  <c r="U14" i="4"/>
  <c r="U13" i="4"/>
  <c r="U12" i="4"/>
  <c r="U11" i="4"/>
  <c r="U10" i="4"/>
  <c r="P14" i="4"/>
  <c r="P13" i="4"/>
  <c r="P12" i="4"/>
  <c r="P11" i="4"/>
  <c r="P10" i="4"/>
  <c r="K14" i="4"/>
  <c r="K13" i="4"/>
  <c r="K12" i="4"/>
  <c r="K11" i="4"/>
  <c r="I14" i="4"/>
  <c r="I13" i="4"/>
  <c r="I12" i="4"/>
  <c r="I11" i="4"/>
  <c r="G14" i="4"/>
  <c r="G13" i="4"/>
  <c r="G12" i="4"/>
  <c r="G11" i="4"/>
  <c r="G10" i="4"/>
  <c r="F11" i="4"/>
  <c r="F12" i="4"/>
  <c r="F13" i="4"/>
  <c r="F14" i="4"/>
  <c r="C9" i="4"/>
  <c r="C8" i="4"/>
  <c r="C7" i="4"/>
  <c r="C6" i="4"/>
  <c r="C14" i="4"/>
  <c r="C13" i="4"/>
  <c r="C12" i="4"/>
  <c r="C11" i="4"/>
  <c r="C10" i="4"/>
  <c r="C5" i="4"/>
  <c r="C4" i="4"/>
  <c r="B11" i="4"/>
  <c r="B12" i="4"/>
  <c r="B13" i="4"/>
  <c r="B14" i="4"/>
  <c r="U2" i="4"/>
  <c r="T10" i="4"/>
  <c r="D4" i="4"/>
  <c r="D5" i="4" s="1"/>
  <c r="O10" i="4"/>
  <c r="K10" i="4"/>
  <c r="I10" i="4"/>
  <c r="F10" i="4"/>
  <c r="B10" i="4"/>
  <c r="W3" i="4"/>
  <c r="P3" i="4"/>
  <c r="T3" i="4"/>
  <c r="U3" i="4"/>
  <c r="V3" i="4"/>
  <c r="K3" i="4"/>
  <c r="G3" i="4"/>
  <c r="F3" i="4"/>
  <c r="C3" i="4"/>
  <c r="B3" i="4"/>
  <c r="S8" i="5"/>
  <c r="A8" i="5"/>
  <c r="L9" i="5"/>
  <c r="R20" i="7"/>
  <c r="Q20" i="7"/>
  <c r="P20" i="7"/>
  <c r="O20" i="7"/>
  <c r="AA20" i="7" s="1"/>
  <c r="N20" i="7"/>
  <c r="P19" i="7"/>
  <c r="O19" i="7"/>
  <c r="AA19" i="7" s="1"/>
  <c r="N19" i="7"/>
  <c r="Y18" i="7"/>
  <c r="W18" i="7"/>
  <c r="V18" i="7"/>
  <c r="U18" i="7"/>
  <c r="X18" i="7" s="1"/>
  <c r="S18" i="7"/>
  <c r="Q18" i="7"/>
  <c r="P18" i="7"/>
  <c r="O18" i="7"/>
  <c r="R18" i="7" s="1"/>
  <c r="N18" i="7"/>
  <c r="Z17" i="7"/>
  <c r="Y17" i="7"/>
  <c r="W17" i="7"/>
  <c r="S17" i="7"/>
  <c r="P17" i="7"/>
  <c r="O17" i="7"/>
  <c r="AA17" i="7" s="1"/>
  <c r="N17" i="7"/>
  <c r="Z16" i="7"/>
  <c r="W16" i="7"/>
  <c r="V16" i="7"/>
  <c r="S16" i="7"/>
  <c r="Q16" i="7"/>
  <c r="P16" i="7"/>
  <c r="O16" i="7"/>
  <c r="R16" i="7" s="1"/>
  <c r="N16" i="7"/>
  <c r="Z15" i="7"/>
  <c r="Y15" i="7"/>
  <c r="V15" i="7"/>
  <c r="U15" i="7"/>
  <c r="S15" i="7"/>
  <c r="R15" i="7"/>
  <c r="Q15" i="7"/>
  <c r="P15" i="7"/>
  <c r="O15" i="7"/>
  <c r="AA15" i="7" s="1"/>
  <c r="N15" i="7"/>
  <c r="Y14" i="7"/>
  <c r="W14" i="7"/>
  <c r="V14" i="7"/>
  <c r="U14" i="7"/>
  <c r="X14" i="7" s="1"/>
  <c r="S14" i="7"/>
  <c r="Q14" i="7"/>
  <c r="P14" i="7"/>
  <c r="O14" i="7"/>
  <c r="R14" i="7" s="1"/>
  <c r="N14" i="7"/>
  <c r="Z13" i="7"/>
  <c r="Y13" i="7"/>
  <c r="W13" i="7"/>
  <c r="S13" i="7"/>
  <c r="P13" i="7"/>
  <c r="O13" i="7"/>
  <c r="AA13" i="7" s="1"/>
  <c r="N13" i="7"/>
  <c r="N9" i="7"/>
  <c r="O9" i="7" s="1"/>
  <c r="N8" i="7"/>
  <c r="N7" i="7"/>
  <c r="O7" i="7" s="1"/>
  <c r="N6" i="7"/>
  <c r="O6" i="7" s="1"/>
  <c r="N5" i="7"/>
  <c r="O5" i="7" s="1"/>
  <c r="H5" i="7"/>
  <c r="I5" i="7" s="1"/>
  <c r="G5" i="7"/>
  <c r="E5" i="7"/>
  <c r="N4" i="7"/>
  <c r="O4" i="7" s="1"/>
  <c r="H4" i="7"/>
  <c r="I4" i="7" s="1"/>
  <c r="G4" i="7"/>
  <c r="E4" i="7"/>
  <c r="N3" i="7"/>
  <c r="O3" i="7" s="1"/>
  <c r="N2" i="7"/>
  <c r="O2" i="7" s="1"/>
  <c r="H2" i="7"/>
  <c r="I2" i="7" s="1"/>
  <c r="G2" i="7"/>
  <c r="E2" i="7"/>
  <c r="P6" i="6"/>
  <c r="O6" i="6"/>
  <c r="N6" i="6"/>
  <c r="M6" i="6"/>
  <c r="L6" i="6"/>
  <c r="K6" i="6"/>
  <c r="Q6" i="6" s="1"/>
  <c r="J6" i="6"/>
  <c r="C6" i="6"/>
  <c r="B6" i="6"/>
  <c r="A6" i="6"/>
  <c r="P5" i="6"/>
  <c r="O5" i="6"/>
  <c r="N5" i="6"/>
  <c r="M5" i="6"/>
  <c r="L5" i="6"/>
  <c r="K5" i="6"/>
  <c r="J5" i="6"/>
  <c r="B5" i="6"/>
  <c r="Q5" i="6" s="1"/>
  <c r="A5" i="6"/>
  <c r="P4" i="6"/>
  <c r="O4" i="6"/>
  <c r="N4" i="6"/>
  <c r="M4" i="6"/>
  <c r="L4" i="6"/>
  <c r="K4" i="6"/>
  <c r="Q4" i="6" s="1"/>
  <c r="J4" i="6"/>
  <c r="C4" i="6"/>
  <c r="B4" i="6"/>
  <c r="A4" i="6"/>
  <c r="P3" i="6"/>
  <c r="O3" i="6"/>
  <c r="N3" i="6"/>
  <c r="M3" i="6"/>
  <c r="L3" i="6"/>
  <c r="K3" i="6"/>
  <c r="J3" i="6"/>
  <c r="B3" i="6"/>
  <c r="Q3" i="6" s="1"/>
  <c r="A3" i="6"/>
  <c r="Q2" i="6"/>
  <c r="P2" i="6"/>
  <c r="O2" i="6"/>
  <c r="N2" i="6"/>
  <c r="M2" i="6"/>
  <c r="L2" i="6"/>
  <c r="K2" i="6"/>
  <c r="H6" i="7" s="1"/>
  <c r="I6" i="7" s="1"/>
  <c r="J2" i="6"/>
  <c r="C2" i="6"/>
  <c r="B2" i="6"/>
  <c r="A2" i="6"/>
  <c r="S9" i="5"/>
  <c r="Q9" i="5"/>
  <c r="O9" i="5"/>
  <c r="N9" i="5"/>
  <c r="M9" i="5"/>
  <c r="K9" i="5"/>
  <c r="J9" i="5"/>
  <c r="I9" i="5"/>
  <c r="H9" i="5"/>
  <c r="G9" i="5"/>
  <c r="F9" i="5"/>
  <c r="E9" i="5"/>
  <c r="D9" i="5"/>
  <c r="C9" i="5"/>
  <c r="B9" i="5"/>
  <c r="A9" i="5"/>
  <c r="Q8" i="5"/>
  <c r="O8" i="5"/>
  <c r="N8" i="5"/>
  <c r="M8" i="5"/>
  <c r="L8" i="5"/>
  <c r="K8" i="5"/>
  <c r="J8" i="5"/>
  <c r="I8" i="5"/>
  <c r="H8" i="5"/>
  <c r="G8" i="5"/>
  <c r="F8" i="5"/>
  <c r="E8" i="5"/>
  <c r="D8" i="5"/>
  <c r="C8" i="5"/>
  <c r="B8" i="5"/>
  <c r="S7" i="5"/>
  <c r="Q7" i="5"/>
  <c r="O7" i="5"/>
  <c r="N7" i="5"/>
  <c r="M7" i="5"/>
  <c r="L7" i="5"/>
  <c r="K7" i="5"/>
  <c r="J7" i="5"/>
  <c r="I7" i="5"/>
  <c r="H7" i="5"/>
  <c r="G7" i="5"/>
  <c r="F7" i="5"/>
  <c r="E7" i="5"/>
  <c r="D7" i="5"/>
  <c r="C7" i="5"/>
  <c r="B7" i="5"/>
  <c r="A7" i="5"/>
  <c r="S6" i="5"/>
  <c r="Q6" i="5"/>
  <c r="O6" i="5"/>
  <c r="N6" i="5"/>
  <c r="M6" i="5"/>
  <c r="L6" i="5"/>
  <c r="K6" i="5"/>
  <c r="J6" i="5"/>
  <c r="I6" i="5"/>
  <c r="H6" i="5"/>
  <c r="G6" i="5"/>
  <c r="F6" i="5"/>
  <c r="E6" i="5"/>
  <c r="D6" i="5"/>
  <c r="C6" i="5"/>
  <c r="B6" i="5"/>
  <c r="A6" i="5"/>
  <c r="S5" i="5"/>
  <c r="Q5" i="5"/>
  <c r="P5" i="5"/>
  <c r="O5" i="5"/>
  <c r="N5" i="5"/>
  <c r="M5" i="5"/>
  <c r="L5" i="5"/>
  <c r="K5" i="5"/>
  <c r="J5" i="5"/>
  <c r="I5" i="5"/>
  <c r="H5" i="5"/>
  <c r="G5" i="5"/>
  <c r="F5" i="5"/>
  <c r="E5" i="5"/>
  <c r="D5" i="5"/>
  <c r="C5" i="5"/>
  <c r="B5" i="5"/>
  <c r="A5" i="5"/>
  <c r="S4" i="5"/>
  <c r="Q4" i="5"/>
  <c r="O4" i="5"/>
  <c r="N4" i="5"/>
  <c r="M4" i="5"/>
  <c r="L4" i="5"/>
  <c r="K4" i="5"/>
  <c r="J4" i="5"/>
  <c r="I4" i="5"/>
  <c r="H4" i="5"/>
  <c r="G4" i="5"/>
  <c r="F4" i="5"/>
  <c r="E4" i="5"/>
  <c r="D4" i="5"/>
  <c r="C4" i="5"/>
  <c r="B4" i="5"/>
  <c r="A4" i="5"/>
  <c r="S3" i="5"/>
  <c r="Q3" i="5"/>
  <c r="O3" i="5"/>
  <c r="N3" i="5"/>
  <c r="M3" i="5"/>
  <c r="L3" i="5"/>
  <c r="K3" i="5"/>
  <c r="J3" i="5"/>
  <c r="I3" i="5"/>
  <c r="H3" i="5"/>
  <c r="G3" i="5"/>
  <c r="F3" i="5"/>
  <c r="E3" i="5"/>
  <c r="D3" i="5"/>
  <c r="C3" i="5"/>
  <c r="B3" i="5"/>
  <c r="A3" i="5"/>
  <c r="S2" i="5"/>
  <c r="Q2" i="5"/>
  <c r="P2" i="5"/>
  <c r="O2" i="5"/>
  <c r="N2" i="5"/>
  <c r="M2" i="5"/>
  <c r="L2" i="5"/>
  <c r="K2" i="5"/>
  <c r="J2" i="5"/>
  <c r="I2" i="5"/>
  <c r="H2" i="5"/>
  <c r="G2" i="5"/>
  <c r="F2" i="5"/>
  <c r="E2" i="5"/>
  <c r="D2" i="5"/>
  <c r="C2" i="5"/>
  <c r="B2" i="5"/>
  <c r="A2" i="5"/>
  <c r="W9" i="4"/>
  <c r="T9" i="4"/>
  <c r="P9" i="4"/>
  <c r="O9" i="4"/>
  <c r="L9" i="4"/>
  <c r="K9" i="4"/>
  <c r="J9" i="4"/>
  <c r="I9" i="4"/>
  <c r="F9" i="4"/>
  <c r="E9" i="4"/>
  <c r="B9" i="4"/>
  <c r="A9" i="4"/>
  <c r="W8" i="4"/>
  <c r="T8" i="4"/>
  <c r="P8" i="4"/>
  <c r="O8" i="4"/>
  <c r="L8" i="4"/>
  <c r="K8" i="4"/>
  <c r="J8" i="4"/>
  <c r="I8" i="4"/>
  <c r="F8" i="4"/>
  <c r="E8" i="4"/>
  <c r="B8" i="4"/>
  <c r="A8" i="4"/>
  <c r="W7" i="4"/>
  <c r="T7" i="4"/>
  <c r="P7" i="4"/>
  <c r="O7" i="4"/>
  <c r="L7" i="4"/>
  <c r="K7" i="4"/>
  <c r="J7" i="4"/>
  <c r="I7" i="4"/>
  <c r="F7" i="4"/>
  <c r="E7" i="4"/>
  <c r="B7" i="4"/>
  <c r="A7" i="4"/>
  <c r="W6" i="4"/>
  <c r="T6" i="4"/>
  <c r="P6" i="4"/>
  <c r="O6" i="4"/>
  <c r="L6" i="4"/>
  <c r="K6" i="4"/>
  <c r="J6" i="4"/>
  <c r="I6" i="4"/>
  <c r="F6" i="4"/>
  <c r="E6" i="4"/>
  <c r="B6" i="4"/>
  <c r="A6" i="4"/>
  <c r="W5" i="4"/>
  <c r="T5" i="4"/>
  <c r="P5" i="4"/>
  <c r="O5" i="4"/>
  <c r="L5" i="4"/>
  <c r="K5" i="4"/>
  <c r="J5" i="4"/>
  <c r="I5" i="4"/>
  <c r="F5" i="4"/>
  <c r="E5" i="4"/>
  <c r="B5" i="4"/>
  <c r="A5" i="4"/>
  <c r="W4" i="4"/>
  <c r="T4" i="4"/>
  <c r="P4" i="4"/>
  <c r="O4" i="4"/>
  <c r="L4" i="4"/>
  <c r="K4" i="4"/>
  <c r="J4" i="4"/>
  <c r="I4" i="4"/>
  <c r="F4" i="4"/>
  <c r="E4" i="4"/>
  <c r="B4" i="4"/>
  <c r="A4" i="4"/>
  <c r="W2" i="4"/>
  <c r="T2" i="4"/>
  <c r="P2" i="4"/>
  <c r="O2" i="4"/>
  <c r="I2" i="4"/>
  <c r="F2" i="4"/>
  <c r="D2" i="4"/>
  <c r="D3" i="4" s="1"/>
  <c r="C2" i="4"/>
  <c r="B2" i="4"/>
  <c r="H12" i="3"/>
  <c r="P9" i="5" s="1"/>
  <c r="H11" i="3"/>
  <c r="I11" i="3" s="1"/>
  <c r="R8" i="5" s="1"/>
  <c r="H10" i="3"/>
  <c r="P7" i="5" s="1"/>
  <c r="I9" i="3"/>
  <c r="R6" i="5" s="1"/>
  <c r="H9" i="3"/>
  <c r="P6" i="5" s="1"/>
  <c r="H8" i="3"/>
  <c r="I8" i="3" s="1"/>
  <c r="R5" i="5" s="1"/>
  <c r="I7" i="3"/>
  <c r="R4" i="5" s="1"/>
  <c r="H7" i="3"/>
  <c r="P4" i="5" s="1"/>
  <c r="H6" i="3"/>
  <c r="I6" i="3" s="1"/>
  <c r="R3" i="5" s="1"/>
  <c r="I5" i="3"/>
  <c r="R2" i="5" s="1"/>
  <c r="H5" i="3"/>
  <c r="E23" i="2"/>
  <c r="D23" i="2"/>
  <c r="C23" i="2"/>
  <c r="F23" i="2" s="1"/>
  <c r="E22" i="2"/>
  <c r="D22" i="2"/>
  <c r="C22" i="2"/>
  <c r="E21" i="2"/>
  <c r="D21" i="2"/>
  <c r="C21" i="2"/>
  <c r="F20" i="2"/>
  <c r="E20" i="2"/>
  <c r="D20" i="2"/>
  <c r="C20" i="2"/>
  <c r="E19" i="2"/>
  <c r="D19" i="2"/>
  <c r="C19" i="2"/>
  <c r="E18" i="2"/>
  <c r="D18" i="2"/>
  <c r="C18" i="2"/>
  <c r="E17" i="2"/>
  <c r="F17" i="2" s="1"/>
  <c r="D17" i="2"/>
  <c r="C17" i="2"/>
  <c r="E16" i="2"/>
  <c r="D16" i="2"/>
  <c r="C16" i="2"/>
  <c r="L55" i="1"/>
  <c r="K55" i="1"/>
  <c r="J55" i="1"/>
  <c r="F55" i="1"/>
  <c r="D55" i="1"/>
  <c r="L54" i="1"/>
  <c r="L52" i="1" s="1"/>
  <c r="K54" i="1"/>
  <c r="J54" i="1"/>
  <c r="F54" i="1"/>
  <c r="D54" i="1"/>
  <c r="L53" i="1"/>
  <c r="U9" i="4" s="1"/>
  <c r="K53" i="1"/>
  <c r="K52" i="1" s="1"/>
  <c r="J53" i="1"/>
  <c r="F53" i="1"/>
  <c r="D53" i="1"/>
  <c r="J52" i="1"/>
  <c r="G9" i="4" s="1"/>
  <c r="L50" i="1"/>
  <c r="K50" i="1"/>
  <c r="J50" i="1"/>
  <c r="F50" i="1"/>
  <c r="D50" i="1"/>
  <c r="L49" i="1"/>
  <c r="K49" i="1"/>
  <c r="J49" i="1"/>
  <c r="F49" i="1"/>
  <c r="D49" i="1"/>
  <c r="L48" i="1"/>
  <c r="U8" i="4" s="1"/>
  <c r="K48" i="1"/>
  <c r="V8" i="4" s="1"/>
  <c r="J48" i="1"/>
  <c r="F48" i="1"/>
  <c r="D48" i="1"/>
  <c r="J47" i="1"/>
  <c r="G8" i="4" s="1"/>
  <c r="L45" i="1"/>
  <c r="K45" i="1"/>
  <c r="J45" i="1"/>
  <c r="F45" i="1"/>
  <c r="D45" i="1"/>
  <c r="L44" i="1"/>
  <c r="L42" i="1" s="1"/>
  <c r="K44" i="1"/>
  <c r="J44" i="1"/>
  <c r="F44" i="1"/>
  <c r="D44" i="1"/>
  <c r="L43" i="1"/>
  <c r="U7" i="4" s="1"/>
  <c r="K43" i="1"/>
  <c r="K42" i="1" s="1"/>
  <c r="J43" i="1"/>
  <c r="F43" i="1"/>
  <c r="D43" i="1"/>
  <c r="J42" i="1"/>
  <c r="G7" i="4" s="1"/>
  <c r="L40" i="1"/>
  <c r="K40" i="1"/>
  <c r="J40" i="1"/>
  <c r="F40" i="1"/>
  <c r="D40" i="1"/>
  <c r="L39" i="1"/>
  <c r="K39" i="1"/>
  <c r="J39" i="1"/>
  <c r="F39" i="1"/>
  <c r="D39" i="1"/>
  <c r="L38" i="1"/>
  <c r="U6" i="4" s="1"/>
  <c r="K38" i="1"/>
  <c r="V6" i="4" s="1"/>
  <c r="J38" i="1"/>
  <c r="F38" i="1"/>
  <c r="D38" i="1"/>
  <c r="J37" i="1"/>
  <c r="G6" i="4" s="1"/>
  <c r="L35" i="1"/>
  <c r="K35" i="1"/>
  <c r="J35" i="1"/>
  <c r="G35" i="1"/>
  <c r="F35" i="1"/>
  <c r="E35" i="1"/>
  <c r="D35" i="1"/>
  <c r="L34" i="1"/>
  <c r="K34" i="1"/>
  <c r="J34" i="1"/>
  <c r="G34" i="1"/>
  <c r="F34" i="1"/>
  <c r="E34" i="1"/>
  <c r="D34" i="1"/>
  <c r="L33" i="1"/>
  <c r="L32" i="1" s="1"/>
  <c r="K33" i="1"/>
  <c r="K32" i="1" s="1"/>
  <c r="J33" i="1"/>
  <c r="G33" i="1"/>
  <c r="F33" i="1"/>
  <c r="E33" i="1"/>
  <c r="D33" i="1"/>
  <c r="J32" i="1"/>
  <c r="G5" i="4" s="1"/>
  <c r="L30" i="1"/>
  <c r="K30" i="1"/>
  <c r="J30" i="1"/>
  <c r="G30" i="1"/>
  <c r="F30" i="1"/>
  <c r="E30" i="1"/>
  <c r="D30" i="1"/>
  <c r="L29" i="1"/>
  <c r="K29" i="1"/>
  <c r="J29" i="1"/>
  <c r="G29" i="1"/>
  <c r="F29" i="1"/>
  <c r="E29" i="1"/>
  <c r="D29" i="1"/>
  <c r="L28" i="1"/>
  <c r="U4" i="4" s="1"/>
  <c r="K28" i="1"/>
  <c r="V4" i="4" s="1"/>
  <c r="J28" i="1"/>
  <c r="G28" i="1"/>
  <c r="F28" i="1"/>
  <c r="E28" i="1"/>
  <c r="D28" i="1"/>
  <c r="J27" i="1"/>
  <c r="G4" i="4" s="1"/>
  <c r="H22" i="1"/>
  <c r="G22" i="1"/>
  <c r="F22" i="1"/>
  <c r="H21" i="1"/>
  <c r="G21" i="1"/>
  <c r="F21" i="1"/>
  <c r="H20" i="1"/>
  <c r="G20" i="1"/>
  <c r="F20" i="1"/>
  <c r="H19" i="1"/>
  <c r="G19" i="1"/>
  <c r="F19" i="1"/>
  <c r="H18" i="1"/>
  <c r="G18" i="1"/>
  <c r="F18" i="1"/>
  <c r="H17" i="1"/>
  <c r="G17" i="1"/>
  <c r="F17" i="1"/>
  <c r="H16" i="1"/>
  <c r="G16" i="1"/>
  <c r="F16" i="1"/>
  <c r="H15" i="1"/>
  <c r="G15" i="1"/>
  <c r="V2" i="4" s="1"/>
  <c r="F15" i="1"/>
  <c r="G2" i="4" s="1"/>
  <c r="I7" i="1"/>
  <c r="M7" i="6" s="1"/>
  <c r="A7" i="1"/>
  <c r="B4" i="1"/>
  <c r="B9" i="8" s="1"/>
  <c r="F63" i="1" l="1"/>
  <c r="L8" i="3" s="1"/>
  <c r="D66" i="1"/>
  <c r="J11" i="3" s="1"/>
  <c r="C61" i="1"/>
  <c r="H61" i="1" s="1"/>
  <c r="D65" i="1"/>
  <c r="J10" i="3" s="1"/>
  <c r="E64" i="1"/>
  <c r="K9" i="3" s="1"/>
  <c r="C65" i="1"/>
  <c r="H65" i="1" s="1"/>
  <c r="D61" i="1"/>
  <c r="J6" i="3" s="1"/>
  <c r="R19" i="7"/>
  <c r="F19" i="2"/>
  <c r="T15" i="7"/>
  <c r="S19" i="7"/>
  <c r="U19" i="7"/>
  <c r="V19" i="7"/>
  <c r="F18" i="2"/>
  <c r="F16" i="2"/>
  <c r="Y19" i="7"/>
  <c r="AB17" i="7"/>
  <c r="Z19" i="7"/>
  <c r="AB13" i="7"/>
  <c r="F21" i="2"/>
  <c r="O8" i="7"/>
  <c r="F22" i="2"/>
  <c r="T16" i="7"/>
  <c r="Q19" i="7"/>
  <c r="T18" i="7"/>
  <c r="H7" i="7"/>
  <c r="I7" i="7" s="1"/>
  <c r="G7" i="7"/>
  <c r="E7" i="7"/>
  <c r="T14" i="7"/>
  <c r="AB15" i="7"/>
  <c r="E65" i="1"/>
  <c r="K10" i="3" s="1"/>
  <c r="D67" i="1" a="1"/>
  <c r="D67" i="1" s="1"/>
  <c r="J12" i="3" s="1"/>
  <c r="F6" i="7"/>
  <c r="G6" i="7" s="1"/>
  <c r="S20" i="7"/>
  <c r="T20" i="7" s="1"/>
  <c r="E67" i="1"/>
  <c r="K12" i="3" s="1"/>
  <c r="I12" i="3"/>
  <c r="R9" i="5" s="1"/>
  <c r="C5" i="6"/>
  <c r="Q13" i="7"/>
  <c r="Z14" i="7"/>
  <c r="AB14" i="7" s="1"/>
  <c r="W15" i="7"/>
  <c r="X15" i="7" s="1"/>
  <c r="Q17" i="7"/>
  <c r="Z18" i="7"/>
  <c r="AB18" i="7" s="1"/>
  <c r="W19" i="7"/>
  <c r="X19" i="7" s="1"/>
  <c r="E63" i="1"/>
  <c r="K8" i="3" s="1"/>
  <c r="G9" i="1"/>
  <c r="F61" i="1"/>
  <c r="L6" i="3" s="1"/>
  <c r="F67" i="1"/>
  <c r="L12" i="3" s="1"/>
  <c r="R13" i="7"/>
  <c r="AA14" i="7"/>
  <c r="U16" i="7"/>
  <c r="X16" i="7" s="1"/>
  <c r="R17" i="7"/>
  <c r="AA18" i="7"/>
  <c r="U20" i="7"/>
  <c r="F65" i="1"/>
  <c r="L10" i="3" s="1"/>
  <c r="G61" i="1"/>
  <c r="U5" i="4"/>
  <c r="G67" i="1"/>
  <c r="I10" i="3"/>
  <c r="R7" i="5" s="1"/>
  <c r="V5" i="4"/>
  <c r="V7" i="4"/>
  <c r="V9" i="4"/>
  <c r="P8" i="5"/>
  <c r="C3" i="6"/>
  <c r="V20" i="7"/>
  <c r="C60" i="1"/>
  <c r="H60" i="1" s="1"/>
  <c r="C62" i="1"/>
  <c r="H62" i="1" s="1"/>
  <c r="C64" i="1"/>
  <c r="H64" i="1" s="1"/>
  <c r="C66" i="1"/>
  <c r="H66" i="1" s="1"/>
  <c r="P3" i="5"/>
  <c r="W20" i="7"/>
  <c r="U13" i="7"/>
  <c r="U17" i="7"/>
  <c r="E66" i="1"/>
  <c r="K11" i="3" s="1"/>
  <c r="V13" i="7"/>
  <c r="Y16" i="7"/>
  <c r="V17" i="7"/>
  <c r="Y20" i="7"/>
  <c r="AB20" i="7" s="1"/>
  <c r="D62" i="1"/>
  <c r="J7" i="3" s="1"/>
  <c r="F66" i="1"/>
  <c r="L11" i="3" s="1"/>
  <c r="G3" i="7"/>
  <c r="Z20" i="7"/>
  <c r="E61" i="1"/>
  <c r="K6" i="3" s="1"/>
  <c r="K27" i="1"/>
  <c r="K37" i="1"/>
  <c r="G62" i="1" s="1"/>
  <c r="K47" i="1"/>
  <c r="D60" i="1"/>
  <c r="J5" i="3" s="1"/>
  <c r="D64" i="1"/>
  <c r="J9" i="3" s="1"/>
  <c r="L27" i="1"/>
  <c r="L37" i="1"/>
  <c r="G66" i="1" s="1"/>
  <c r="L47" i="1"/>
  <c r="E62" i="1"/>
  <c r="K7" i="3" s="1"/>
  <c r="F60" i="1"/>
  <c r="L5" i="3" s="1"/>
  <c r="F62" i="1"/>
  <c r="L7" i="3" s="1"/>
  <c r="F64" i="1"/>
  <c r="L9" i="3" s="1"/>
  <c r="B3" i="1"/>
  <c r="G7" i="1" s="1"/>
  <c r="G60" i="1"/>
  <c r="AA16" i="7"/>
  <c r="E60" i="1"/>
  <c r="K5" i="3" s="1"/>
  <c r="L7" i="6"/>
  <c r="C67" i="1"/>
  <c r="H67" i="1" s="1"/>
  <c r="C63" i="1"/>
  <c r="H63" i="1" s="1"/>
  <c r="D63" i="1"/>
  <c r="J8" i="3" s="1"/>
  <c r="AB19" i="7" l="1"/>
  <c r="H12" i="7"/>
  <c r="I12" i="7" s="1"/>
  <c r="T19" i="7"/>
  <c r="G65" i="1"/>
  <c r="G63" i="1"/>
  <c r="G64" i="1"/>
  <c r="E3" i="7"/>
  <c r="X20" i="7"/>
  <c r="T17" i="7"/>
  <c r="AB16" i="7"/>
  <c r="F13" i="7" s="1"/>
  <c r="E12" i="7"/>
  <c r="N7" i="6"/>
  <c r="B8" i="8"/>
  <c r="I10" i="1"/>
  <c r="A10" i="1"/>
  <c r="X17" i="7"/>
  <c r="G12" i="7"/>
  <c r="X13" i="7"/>
  <c r="H10" i="7"/>
  <c r="I10" i="7" s="1"/>
  <c r="G10" i="7"/>
  <c r="F10" i="7"/>
  <c r="E10" i="7"/>
  <c r="T13" i="7"/>
  <c r="H8" i="7"/>
  <c r="I8" i="7" s="1"/>
  <c r="G8" i="7"/>
  <c r="F8" i="7"/>
  <c r="E8" i="7"/>
  <c r="H3" i="7"/>
  <c r="I3" i="7" s="1"/>
  <c r="F12" i="7"/>
  <c r="H9" i="7" l="1"/>
  <c r="I9" i="7" s="1"/>
  <c r="G9" i="7"/>
  <c r="F9" i="7"/>
  <c r="E9" i="7"/>
  <c r="G13" i="7"/>
  <c r="H13" i="7"/>
  <c r="I13" i="7" s="1"/>
  <c r="H11" i="7"/>
  <c r="I11" i="7" s="1"/>
  <c r="G11" i="7"/>
  <c r="F11" i="7"/>
  <c r="E11" i="7"/>
  <c r="E13" i="7"/>
</calcChain>
</file>

<file path=xl/sharedStrings.xml><?xml version="1.0" encoding="utf-8"?>
<sst xmlns="http://schemas.openxmlformats.org/spreadsheetml/2006/main" count="5782" uniqueCount="1093">
  <si>
    <t>CYDER CUP • LIVE LEADERBOARD</t>
  </si>
  <si>
    <t>Winning total</t>
  </si>
  <si>
    <t>Total points</t>
  </si>
  <si>
    <t>TEAM NAVY</t>
  </si>
  <si>
    <t>CUP STATUS</t>
  </si>
  <si>
    <t>TEAM RED</t>
  </si>
  <si>
    <t>ALL-TEAM EVENTS</t>
  </si>
  <si>
    <t>Event</t>
  </si>
  <si>
    <t>Segment</t>
  </si>
  <si>
    <t>Points</t>
  </si>
  <si>
    <t>Winner</t>
  </si>
  <si>
    <t>Result / Notes</t>
  </si>
  <si>
    <t>Status</t>
  </si>
  <si>
    <t>Red Pts</t>
  </si>
  <si>
    <t>Navy Pts</t>
  </si>
  <si>
    <t>Website Key</t>
  </si>
  <si>
    <t>Scramble</t>
  </si>
  <si>
    <t>Front 9</t>
  </si>
  <si>
    <t>scramble-front-9</t>
  </si>
  <si>
    <t>Back 9</t>
  </si>
  <si>
    <t>scramble-back-9</t>
  </si>
  <si>
    <t>Overall</t>
  </si>
  <si>
    <t>scramble-overall</t>
  </si>
  <si>
    <t>Drinking Games #1</t>
  </si>
  <si>
    <t>Single event</t>
  </si>
  <si>
    <t>drinking-1</t>
  </si>
  <si>
    <t>Drinking Games #2</t>
  </si>
  <si>
    <t>drinking-2</t>
  </si>
  <si>
    <t>Drinking Games #3</t>
  </si>
  <si>
    <t>drinking-3</t>
  </si>
  <si>
    <t>Drinking Games #4</t>
  </si>
  <si>
    <t>drinking-4</t>
  </si>
  <si>
    <t>Drinking Games #5</t>
  </si>
  <si>
    <t>drinking-5</t>
  </si>
  <si>
    <t>SELECT-PLAYER EVENTS</t>
  </si>
  <si>
    <t>Red Player 1</t>
  </si>
  <si>
    <t>Red Player 2</t>
  </si>
  <si>
    <t>Navy Player 1</t>
  </si>
  <si>
    <t>Navy Player 2</t>
  </si>
  <si>
    <t>Fourball #1</t>
  </si>
  <si>
    <t>MATCH SUBTOTAL</t>
  </si>
  <si>
    <t>Kevin Catliff</t>
  </si>
  <si>
    <t>Sam Griffiths</t>
  </si>
  <si>
    <t>JJ Meakings</t>
  </si>
  <si>
    <t>Eric Bleim</t>
  </si>
  <si>
    <t>fourball-1</t>
  </si>
  <si>
    <t>fourball-1-front-9</t>
  </si>
  <si>
    <t>fourball-1-back-9</t>
  </si>
  <si>
    <t>fourball-1-overall</t>
  </si>
  <si>
    <t>Fourball #2</t>
  </si>
  <si>
    <t>Sean Bromley</t>
  </si>
  <si>
    <t>Dylan Bradley</t>
  </si>
  <si>
    <t>George Collister</t>
  </si>
  <si>
    <t>fourball-2</t>
  </si>
  <si>
    <t>fourball-2-front-9</t>
  </si>
  <si>
    <t>fourball-2-back-9</t>
  </si>
  <si>
    <t>fourball-2-overall</t>
  </si>
  <si>
    <t>Singles #1</t>
  </si>
  <si>
    <t>singles-1</t>
  </si>
  <si>
    <t>singles-1-front-9</t>
  </si>
  <si>
    <t>singles-1-back-9</t>
  </si>
  <si>
    <t>singles-1-overall</t>
  </si>
  <si>
    <t>Singles #2</t>
  </si>
  <si>
    <t>singles-2</t>
  </si>
  <si>
    <t>singles-2-front-9</t>
  </si>
  <si>
    <t>singles-2-back-9</t>
  </si>
  <si>
    <t>singles-2-overall</t>
  </si>
  <si>
    <t>Singles #3</t>
  </si>
  <si>
    <t>singles-3</t>
  </si>
  <si>
    <t>singles-3-front-9</t>
  </si>
  <si>
    <t>singles-3-back-9</t>
  </si>
  <si>
    <t>singles-3-overall</t>
  </si>
  <si>
    <t>Singles #4</t>
  </si>
  <si>
    <t>singles-4</t>
  </si>
  <si>
    <t>singles-4-front-9</t>
  </si>
  <si>
    <t>singles-4-back-9</t>
  </si>
  <si>
    <t>singles-4-overall</t>
  </si>
  <si>
    <t>CURRENT CUP • PLAYER PERFORMANCE</t>
  </si>
  <si>
    <t>SCORING NOTES
• Scramble and each Fourball match award 1 point for Front 9, 1 point for Back 9, and 1 point for Overall.
• Each Singles match awards 2 points for Front 9, 2 points for Back 9, and 2 points for Overall.
• A tie always splits the available points equally.
• All-team events credit every team member; Fourball and Singles credit only selected players.</t>
  </si>
  <si>
    <t>Player</t>
  </si>
  <si>
    <t>Team</t>
  </si>
  <si>
    <t>Segments Played</t>
  </si>
  <si>
    <t>Wins</t>
  </si>
  <si>
    <t>Losses</t>
  </si>
  <si>
    <t>Ties</t>
  </si>
  <si>
    <t>Points Won</t>
  </si>
  <si>
    <t>Win %</t>
  </si>
  <si>
    <t>Red</t>
  </si>
  <si>
    <t>Navy</t>
  </si>
  <si>
    <t>CYDER CUP • RECORD BOOK</t>
  </si>
  <si>
    <t>Career history, annual champions, and player-level match results</t>
  </si>
  <si>
    <t>ANNUAL CUP RESULTS</t>
  </si>
  <si>
    <t>Year</t>
  </si>
  <si>
    <t>Champion</t>
  </si>
  <si>
    <t>Captain</t>
  </si>
  <si>
    <t>Final Score</t>
  </si>
  <si>
    <t>13.5 - 1.5</t>
  </si>
  <si>
    <t>10 - 5</t>
  </si>
  <si>
    <t>9 - 6</t>
  </si>
  <si>
    <t>8 - 7</t>
  </si>
  <si>
    <t>9.5 - 5.5</t>
  </si>
  <si>
    <t>ALL-TIME PLAYER RECORDS</t>
  </si>
  <si>
    <t>W</t>
  </si>
  <si>
    <t>L</t>
  </si>
  <si>
    <t>T</t>
  </si>
  <si>
    <t>Points %</t>
  </si>
  <si>
    <t>PLAYER MATCH HISTORY</t>
  </si>
  <si>
    <t>One row per player • Singles opponents shown separately • Use this table for future website records</t>
  </si>
  <si>
    <t>Day</t>
  </si>
  <si>
    <t>Format</t>
  </si>
  <si>
    <t>Teammate(s)</t>
  </si>
  <si>
    <t>Singles Opponent</t>
  </si>
  <si>
    <t>Result</t>
  </si>
  <si>
    <t>Score / Notes</t>
  </si>
  <si>
    <t>Session 1a</t>
  </si>
  <si>
    <t>Fourball</t>
  </si>
  <si>
    <t>NAVY 2&amp;1</t>
  </si>
  <si>
    <t>Session 1b</t>
  </si>
  <si>
    <t>NAVY 7&amp;5</t>
  </si>
  <si>
    <t>Session 2a</t>
  </si>
  <si>
    <t>RED 3 under</t>
  </si>
  <si>
    <t>Session 2b</t>
  </si>
  <si>
    <t>NAVY 2 under</t>
  </si>
  <si>
    <t>Session 3</t>
  </si>
  <si>
    <t>Singles</t>
  </si>
  <si>
    <t>A/S</t>
  </si>
  <si>
    <t>NAVY 4&amp;3</t>
  </si>
  <si>
    <t>RED 3&amp;2</t>
  </si>
  <si>
    <t>RED 4&amp;3</t>
  </si>
  <si>
    <t>NAVY 1 UP</t>
  </si>
  <si>
    <t>RED 7&amp;5</t>
  </si>
  <si>
    <t>NAVY 3&amp;2</t>
  </si>
  <si>
    <t>NAVY 4 under</t>
  </si>
  <si>
    <t>RED 4 under</t>
  </si>
  <si>
    <t>RED 2&amp;1</t>
  </si>
  <si>
    <t>RED 5&amp;4</t>
  </si>
  <si>
    <t>RED 1 UP</t>
  </si>
  <si>
    <t>RED 6&amp;5</t>
  </si>
  <si>
    <t>RED 2 under</t>
  </si>
  <si>
    <t>NAVY 3 under</t>
  </si>
  <si>
    <t>NAVY 2UP</t>
  </si>
  <si>
    <t>RED 4&amp;2</t>
  </si>
  <si>
    <t>Session 2</t>
  </si>
  <si>
    <t>All</t>
  </si>
  <si>
    <t>NAVY 15 under</t>
  </si>
  <si>
    <t>NAVY 5&amp;4</t>
  </si>
  <si>
    <t>Session 1</t>
  </si>
  <si>
    <t>Match</t>
  </si>
  <si>
    <t>CYDER CUP • PLAYER DATABASE</t>
  </si>
  <si>
    <t>Player ID</t>
  </si>
  <si>
    <t>Display Name</t>
  </si>
  <si>
    <t>Active</t>
  </si>
  <si>
    <t>Career W</t>
  </si>
  <si>
    <t>Career L</t>
  </si>
  <si>
    <t>Career T</t>
  </si>
  <si>
    <t>Career Matches</t>
  </si>
  <si>
    <t>Career Win %</t>
  </si>
  <si>
    <t>2026 Cup W</t>
  </si>
  <si>
    <t>2026 Cup L</t>
  </si>
  <si>
    <t>2026 Cup T</t>
  </si>
  <si>
    <t>First Name</t>
  </si>
  <si>
    <t>Last Name</t>
  </si>
  <si>
    <t>Handicap</t>
  </si>
  <si>
    <t>Hometown</t>
  </si>
  <si>
    <t>Home Course</t>
  </si>
  <si>
    <t>Favorite Drink</t>
  </si>
  <si>
    <t>Walkout Music</t>
  </si>
  <si>
    <t>Bio</t>
  </si>
  <si>
    <t>Photo Key</t>
  </si>
  <si>
    <t>red-sam</t>
  </si>
  <si>
    <t>Yes</t>
  </si>
  <si>
    <t>Sam</t>
  </si>
  <si>
    <t>Griffiths</t>
  </si>
  <si>
    <t>North Vancouver, British Columbia</t>
  </si>
  <si>
    <t>Sunningdale Golf Club</t>
  </si>
  <si>
    <t>Guinness</t>
  </si>
  <si>
    <t>I Don’t Wanna Be – Gavin Degraw</t>
  </si>
  <si>
    <t>red-kevin</t>
  </si>
  <si>
    <t>Kevin</t>
  </si>
  <si>
    <t>Catliff</t>
  </si>
  <si>
    <t>Vancouver, British Columbia</t>
  </si>
  <si>
    <t>Bowen Island Golf Club</t>
  </si>
  <si>
    <t>Suntory</t>
  </si>
  <si>
    <t>Heaven Takes You Home - SHM</t>
  </si>
  <si>
    <t>red-sean</t>
  </si>
  <si>
    <t>Sean</t>
  </si>
  <si>
    <t>Bromley</t>
  </si>
  <si>
    <t>Capilano Golf and Country Club</t>
  </si>
  <si>
    <t>Whiskey</t>
  </si>
  <si>
    <t>Beer Never Broke My Heart - Luke Combs</t>
  </si>
  <si>
    <t>red-dylan</t>
  </si>
  <si>
    <t>Dylan</t>
  </si>
  <si>
    <t>Bradley</t>
  </si>
  <si>
    <t>Pitt Meadows, British Columbia</t>
  </si>
  <si>
    <t>Pitt Meadows Golf Club</t>
  </si>
  <si>
    <t>Tequila Soda</t>
  </si>
  <si>
    <t>Shook Ones – Mobb Deep</t>
  </si>
  <si>
    <t>navy-eric</t>
  </si>
  <si>
    <t>Eric</t>
  </si>
  <si>
    <t>Bleim</t>
  </si>
  <si>
    <t>The Redwoods Golf Course</t>
  </si>
  <si>
    <t>Orange Crush (zero sugar)</t>
  </si>
  <si>
    <t>Pink Pony Club – Chappell Roan</t>
  </si>
  <si>
    <t>navy-george</t>
  </si>
  <si>
    <t>George</t>
  </si>
  <si>
    <t>Collister</t>
  </si>
  <si>
    <t>Langley, British Columbia</t>
  </si>
  <si>
    <t>Miller Lite</t>
  </si>
  <si>
    <t>Money for nothing – Dire Straights</t>
  </si>
  <si>
    <t>Wells</t>
  </si>
  <si>
    <t>navy-jj</t>
  </si>
  <si>
    <t>JJ</t>
  </si>
  <si>
    <t>Meakings</t>
  </si>
  <si>
    <t>Scottsdale, Arizona</t>
  </si>
  <si>
    <t>Trilogy Golf Club at Vistancia</t>
  </si>
  <si>
    <t>Diet Coke</t>
  </si>
  <si>
    <t>PURPOSE: canonical player names and IDs for dropdowns, statistics, profiles, and website URLs</t>
  </si>
  <si>
    <t>match_id</t>
  </si>
  <si>
    <t>tournament_id</t>
  </si>
  <si>
    <t>session_id</t>
  </si>
  <si>
    <t>match_number</t>
  </si>
  <si>
    <t>event_name</t>
  </si>
  <si>
    <t>format</t>
  </si>
  <si>
    <t>status</t>
  </si>
  <si>
    <t>navy_player_1</t>
  </si>
  <si>
    <t>navy_player_2</t>
  </si>
  <si>
    <t>red_player_1</t>
  </si>
  <si>
    <t>red_player_2</t>
  </si>
  <si>
    <t>start_time</t>
  </si>
  <si>
    <t>current_hole</t>
  </si>
  <si>
    <t>display_score</t>
  </si>
  <si>
    <t>result</t>
  </si>
  <si>
    <t>navy_points</t>
  </si>
  <si>
    <t>red_points</t>
  </si>
  <si>
    <t>points_available</t>
  </si>
  <si>
    <t>player_id</t>
  </si>
  <si>
    <t>first_name</t>
  </si>
  <si>
    <t>last_name</t>
  </si>
  <si>
    <t>display_name</t>
  </si>
  <si>
    <t>team_id</t>
  </si>
  <si>
    <t>active</t>
  </si>
  <si>
    <t>handicap</t>
  </si>
  <si>
    <t>hometown</t>
  </si>
  <si>
    <t>home_course</t>
  </si>
  <si>
    <t>favorite_drink</t>
  </si>
  <si>
    <t>walkout_music</t>
  </si>
  <si>
    <t>bio</t>
  </si>
  <si>
    <t>career_wins</t>
  </si>
  <si>
    <t>career_losses</t>
  </si>
  <si>
    <t>career_ties</t>
  </si>
  <si>
    <t>career_matches</t>
  </si>
  <si>
    <t>career_points</t>
  </si>
  <si>
    <t>career_points_percentage</t>
  </si>
  <si>
    <t>photo_key</t>
  </si>
  <si>
    <t>year</t>
  </si>
  <si>
    <t>name</t>
  </si>
  <si>
    <t>venue</t>
  </si>
  <si>
    <t>city</t>
  </si>
  <si>
    <t>region</t>
  </si>
  <si>
    <t>country</t>
  </si>
  <si>
    <t>start_date</t>
  </si>
  <si>
    <t>end_date</t>
  </si>
  <si>
    <t>winning_team</t>
  </si>
  <si>
    <t>points_to_win</t>
  </si>
  <si>
    <t>winning captain</t>
  </si>
  <si>
    <t>mvp_player_id</t>
  </si>
  <si>
    <t>summary</t>
  </si>
  <si>
    <t>Tobiano Golf Course | The Dunes Golf Course | Sun Peaks Golf Course</t>
  </si>
  <si>
    <t>Kamloops</t>
  </si>
  <si>
    <t>British Columbia</t>
  </si>
  <si>
    <t>Canada</t>
  </si>
  <si>
    <t>Tobiano Golf Course | Eaglepoint Golf Resort | Bighorn Golf and Country Club</t>
  </si>
  <si>
    <t>Tobiano Golf Course | Talking Rock Golf Resort | Sun Peaks Golf Resort</t>
  </si>
  <si>
    <t>Pemberton</t>
  </si>
  <si>
    <t>Fairmont Chateau | Big Sky Golf Club | Whistler Golf Course</t>
  </si>
  <si>
    <t>Whistler</t>
  </si>
  <si>
    <t>cyder-cup-2026</t>
  </si>
  <si>
    <t>Cyder Cup 2026</t>
  </si>
  <si>
    <t>Predator Ridge Golf Club | Predator Ridge Resort</t>
  </si>
  <si>
    <t>Vernon</t>
  </si>
  <si>
    <t>upcoming</t>
  </si>
  <si>
    <t>The 2026 Cyder Cup is the current tournament.</t>
  </si>
  <si>
    <t>record_id</t>
  </si>
  <si>
    <t>category</t>
  </si>
  <si>
    <t>title</t>
  </si>
  <si>
    <t>holder_type</t>
  </si>
  <si>
    <t>holder_name</t>
  </si>
  <si>
    <t>value</t>
  </si>
  <si>
    <t>display_value</t>
  </si>
  <si>
    <t>description</t>
  </si>
  <si>
    <t>sort_order</t>
  </si>
  <si>
    <t>captain_name</t>
  </si>
  <si>
    <t>cup_wins</t>
  </si>
  <si>
    <t>career-most-wins</t>
  </si>
  <si>
    <t>career</t>
  </si>
  <si>
    <t>Most Career Wins</t>
  </si>
  <si>
    <t>player</t>
  </si>
  <si>
    <t>Player with the most career match wins.</t>
  </si>
  <si>
    <t>career-best-points-pct</t>
  </si>
  <si>
    <t>Best Career Points Percentage</t>
  </si>
  <si>
    <t>Player with the highest career points percentage.</t>
  </si>
  <si>
    <t>career-most-losses</t>
  </si>
  <si>
    <t>Most Career Losses</t>
  </si>
  <si>
    <t>Player with the most career match losses.</t>
  </si>
  <si>
    <t>career-most-ties</t>
  </si>
  <si>
    <t>Most Career Ties</t>
  </si>
  <si>
    <t>Player with the most career tied matches.</t>
  </si>
  <si>
    <t>team-most-titles</t>
  </si>
  <si>
    <t>team</t>
  </si>
  <si>
    <t>Most Cyder Cup Titles</t>
  </si>
  <si>
    <t>Team with the most completed Cyder Cup victories.</t>
  </si>
  <si>
    <t>captain-most-wins</t>
  </si>
  <si>
    <t>captain</t>
  </si>
  <si>
    <t>Most Captain Victories</t>
  </si>
  <si>
    <t>Captain with the most Cyder Cup victories.</t>
  </si>
  <si>
    <t>singles-most-wins</t>
  </si>
  <si>
    <t>Most Singles Wins</t>
  </si>
  <si>
    <t>Player with the most historical singles wins.</t>
  </si>
  <si>
    <t>singles-best-pct</t>
  </si>
  <si>
    <t>Best Singles Win Percentage</t>
  </si>
  <si>
    <t>Player with the best singles points percentage.</t>
  </si>
  <si>
    <t>fourball-most-wins</t>
  </si>
  <si>
    <t>Most Fourball Wins</t>
  </si>
  <si>
    <t>Player with the most historical fourball wins.</t>
  </si>
  <si>
    <t>fourball-best-pct</t>
  </si>
  <si>
    <t>Best Fourball Win Percentage</t>
  </si>
  <si>
    <t>Player with the best fourball points percentage.</t>
  </si>
  <si>
    <t>scramble-most-wins</t>
  </si>
  <si>
    <t>Most Scramble Wins</t>
  </si>
  <si>
    <t>Player with the most historical scramble wins.</t>
  </si>
  <si>
    <t>player_name</t>
  </si>
  <si>
    <t>singles_w</t>
  </si>
  <si>
    <t>singles_l</t>
  </si>
  <si>
    <t>singles_t</t>
  </si>
  <si>
    <t>singles_pct</t>
  </si>
  <si>
    <t>fourball_w</t>
  </si>
  <si>
    <t>fourball_l</t>
  </si>
  <si>
    <t>fourball_t</t>
  </si>
  <si>
    <t>fourball_pct</t>
  </si>
  <si>
    <t>scramble_w</t>
  </si>
  <si>
    <t>scramble_l</t>
  </si>
  <si>
    <t>scramble_t</t>
  </si>
  <si>
    <t>scramble_pct</t>
  </si>
  <si>
    <t>scramble-best-pct</t>
  </si>
  <si>
    <t>Best Scramble Win Percentage</t>
  </si>
  <si>
    <t>Player with the best scramble points percentage.</t>
  </si>
  <si>
    <t>config_key</t>
  </si>
  <si>
    <t>config_value</t>
  </si>
  <si>
    <t>current_tournament_id</t>
  </si>
  <si>
    <t>Tournament displayed as the current event</t>
  </si>
  <si>
    <t>site_title</t>
  </si>
  <si>
    <t>Cyder Cup</t>
  </si>
  <si>
    <t>Website title</t>
  </si>
  <si>
    <t>live_scoring_enabled</t>
  </si>
  <si>
    <t>Controls whether the live scoring experience is enabled</t>
  </si>
  <si>
    <t>timezone</t>
  </si>
  <si>
    <t>America/Phoenix</t>
  </si>
  <si>
    <t>Default timezone used for website dates and times</t>
  </si>
  <si>
    <t>navy_team_id</t>
  </si>
  <si>
    <t>navy</t>
  </si>
  <si>
    <t>Canonical Team Navy identifier</t>
  </si>
  <si>
    <t>red_team_id</t>
  </si>
  <si>
    <t>red</t>
  </si>
  <si>
    <t>Canonical Team Red identifier</t>
  </si>
  <si>
    <t>Points required to win the current tournament</t>
  </si>
  <si>
    <t>total_points_available</t>
  </si>
  <si>
    <t>Total points available in the current tournament</t>
  </si>
  <si>
    <t>data_version</t>
  </si>
  <si>
    <t>3.0</t>
  </si>
  <si>
    <t>Website feed schema version</t>
  </si>
  <si>
    <t>full_write_up</t>
  </si>
  <si>
    <t>hero_image_key</t>
  </si>
  <si>
    <t>gallery_folder</t>
  </si>
  <si>
    <t>format_label</t>
  </si>
  <si>
    <t>content_status</t>
  </si>
  <si>
    <t>history/2019</t>
  </si>
  <si>
    <t>Published</t>
  </si>
  <si>
    <t>history/2020</t>
  </si>
  <si>
    <t>history/2021</t>
  </si>
  <si>
    <t>history/2022</t>
  </si>
  <si>
    <t>history/2025</t>
  </si>
  <si>
    <t>Team Vs. Team 4-man Scramble</t>
  </si>
  <si>
    <t>history/2026</t>
  </si>
  <si>
    <t>Draft</t>
  </si>
  <si>
    <t>workbook_architecture_version</t>
  </si>
  <si>
    <t>1.0</t>
  </si>
  <si>
    <t>Cyder Cup Control Center data architecture version</t>
  </si>
  <si>
    <t>historical_match_feed</t>
  </si>
  <si>
    <t>Feed - Match History</t>
  </si>
  <si>
    <t>Canonical historical analytics feed</t>
  </si>
  <si>
    <t>CYDER CUP • CONTROL CENTER</t>
  </si>
  <si>
    <t>Workbook operating guide and annual update checklist</t>
  </si>
  <si>
    <t>ANNUAL WORKFLOW</t>
  </si>
  <si>
    <t>OWNER</t>
  </si>
  <si>
    <t>FREQUENCY</t>
  </si>
  <si>
    <t>STATUS</t>
  </si>
  <si>
    <t>SHEET</t>
  </si>
  <si>
    <t>ROLE</t>
  </si>
  <si>
    <t>EDIT?</t>
  </si>
  <si>
    <t>Update player details / handicaps</t>
  </si>
  <si>
    <t>Commissioner</t>
  </si>
  <si>
    <t>As needed</t>
  </si>
  <si>
    <t>Manual input</t>
  </si>
  <si>
    <t>Record Book</t>
  </si>
  <si>
    <t>Human-facing history and summaries</t>
  </si>
  <si>
    <t>No direct annual input</t>
  </si>
  <si>
    <t>Add tournament metadata and full write-up</t>
  </si>
  <si>
    <t>Once per year</t>
  </si>
  <si>
    <t>Player Stats</t>
  </si>
  <si>
    <t>Human-facing player database</t>
  </si>
  <si>
    <t>Review only</t>
  </si>
  <si>
    <t>Enter completed match results</t>
  </si>
  <si>
    <t>During / after event</t>
  </si>
  <si>
    <t>Feed - Players</t>
  </si>
  <si>
    <t>Canonical player profile data</t>
  </si>
  <si>
    <t>Add awards</t>
  </si>
  <si>
    <t>After event</t>
  </si>
  <si>
    <t>Feed - Tournaments</t>
  </si>
  <si>
    <t>Tournament metadata and write-ups</t>
  </si>
  <si>
    <t>Drop photos into public/history/YEAR</t>
  </si>
  <si>
    <t>File system</t>
  </si>
  <si>
    <t>Completed historical match results</t>
  </si>
  <si>
    <t>Export website feeds</t>
  </si>
  <si>
    <t>System</t>
  </si>
  <si>
    <t>After updates</t>
  </si>
  <si>
    <t>Automated (future)</t>
  </si>
  <si>
    <t>Feed - Matches</t>
  </si>
  <si>
    <t>Current/live tournament scoring</t>
  </si>
  <si>
    <t>Yes during event</t>
  </si>
  <si>
    <t>Feed - Awards</t>
  </si>
  <si>
    <t>Annual awards and honors</t>
  </si>
  <si>
    <t>Feed - Media</t>
  </si>
  <si>
    <t>Hero image and asset references</t>
  </si>
  <si>
    <t>Optional</t>
  </si>
  <si>
    <t>DESIGN PRINCIPLES</t>
  </si>
  <si>
    <t>Feed - Records</t>
  </si>
  <si>
    <t>Calculated website records</t>
  </si>
  <si>
    <t>System generated</t>
  </si>
  <si>
    <t>1</t>
  </si>
  <si>
    <t>Workbook is the single source of truth for structured content.</t>
  </si>
  <si>
    <t>Feed - Site Config</t>
  </si>
  <si>
    <t>Website settings</t>
  </si>
  <si>
    <t>Occasional</t>
  </si>
  <si>
    <t>2</t>
  </si>
  <si>
    <t>Photos and videos remain external assets; Excel stores references only.</t>
  </si>
  <si>
    <t>3</t>
  </si>
  <si>
    <t>Permanent IDs are used internally; display names remain human-friendly.</t>
  </si>
  <si>
    <t>4</t>
  </si>
  <si>
    <t>Record Book remains presentation-focused and is not the website feed.</t>
  </si>
  <si>
    <t>5</t>
  </si>
  <si>
    <t>No website statistic should be manually typed if it can be calculated.</t>
  </si>
  <si>
    <t>6</t>
  </si>
  <si>
    <t>Terminology standard: Vs.; 4-man Scramble; Team Vs. Team 4-man Scramble.</t>
  </si>
  <si>
    <t>match_type</t>
  </si>
  <si>
    <t>course</t>
  </si>
  <si>
    <t>partner_player_ids</t>
  </si>
  <si>
    <t>partner_names</t>
  </si>
  <si>
    <t>opponent_1_id</t>
  </si>
  <si>
    <t>opponent_1_name</t>
  </si>
  <si>
    <t>opponent_2_id</t>
  </si>
  <si>
    <t>opponent_2_name</t>
  </si>
  <si>
    <t>points_earned</t>
  </si>
  <si>
    <t>score_notes</t>
  </si>
  <si>
    <t>source_record_book_row</t>
  </si>
  <si>
    <t>M2019-01</t>
  </si>
  <si>
    <t>cyder-cup-2019</t>
  </si>
  <si>
    <t>M2019-02</t>
  </si>
  <si>
    <t>M2019-03</t>
  </si>
  <si>
    <t>M2019-04</t>
  </si>
  <si>
    <t>M2019-05</t>
  </si>
  <si>
    <t>M2019-06</t>
  </si>
  <si>
    <t>M2019-07</t>
  </si>
  <si>
    <t>M2020-01</t>
  </si>
  <si>
    <t>cyder-cup-2020</t>
  </si>
  <si>
    <t>M2020-02</t>
  </si>
  <si>
    <t>M2020-03</t>
  </si>
  <si>
    <t>M2020-04</t>
  </si>
  <si>
    <t>M2020-05</t>
  </si>
  <si>
    <t>M2020-06</t>
  </si>
  <si>
    <t>M2020-07</t>
  </si>
  <si>
    <t>M2020-08</t>
  </si>
  <si>
    <t>M2021-01</t>
  </si>
  <si>
    <t>cyder-cup-2021</t>
  </si>
  <si>
    <t>M2021-02</t>
  </si>
  <si>
    <t>M2021-03</t>
  </si>
  <si>
    <t>M2021-04</t>
  </si>
  <si>
    <t>M2021-05</t>
  </si>
  <si>
    <t>M2021-06</t>
  </si>
  <si>
    <t>M2021-07</t>
  </si>
  <si>
    <t>M2021-08</t>
  </si>
  <si>
    <t>M2022-01</t>
  </si>
  <si>
    <t>cyder-cup-2022</t>
  </si>
  <si>
    <t>M2022-02</t>
  </si>
  <si>
    <t>M2022-03</t>
  </si>
  <si>
    <t>M2022-04</t>
  </si>
  <si>
    <t>M2022-05</t>
  </si>
  <si>
    <t>M2022-06</t>
  </si>
  <si>
    <t>M2022-07</t>
  </si>
  <si>
    <t>M2022-08</t>
  </si>
  <si>
    <t>M2025-01</t>
  </si>
  <si>
    <t>cyder-cup-2025</t>
  </si>
  <si>
    <t>M2025-02</t>
  </si>
  <si>
    <t>M2025-03</t>
  </si>
  <si>
    <t>4-man Scramble</t>
  </si>
  <si>
    <t>all-red</t>
  </si>
  <si>
    <t>all-navy</t>
  </si>
  <si>
    <t>Team Navy</t>
  </si>
  <si>
    <t>Team Red</t>
  </si>
  <si>
    <t>M2025-04</t>
  </si>
  <si>
    <t>M2025-05</t>
  </si>
  <si>
    <t>M2025-06</t>
  </si>
  <si>
    <t>award_id</t>
  </si>
  <si>
    <t>award_type</t>
  </si>
  <si>
    <t>award_title</t>
  </si>
  <si>
    <t>recipient_type</t>
  </si>
  <si>
    <t>recipient_name</t>
  </si>
  <si>
    <t>display_order</t>
  </si>
  <si>
    <t>EXAMPLE-DELETE</t>
  </si>
  <si>
    <t>mvp</t>
  </si>
  <si>
    <t>Tournament MVP</t>
  </si>
  <si>
    <t>Enter award after tournament; this example row can be deleted.</t>
  </si>
  <si>
    <t>EXAMPLE-DELETE-2</t>
  </si>
  <si>
    <t>Winning Captain</t>
  </si>
  <si>
    <t>Optional if already captured on tournament feed.</t>
  </si>
  <si>
    <t>media_id</t>
  </si>
  <si>
    <t>asset_type</t>
  </si>
  <si>
    <t>scope_type</t>
  </si>
  <si>
    <t>scope_id</t>
  </si>
  <si>
    <t>file_key</t>
  </si>
  <si>
    <t>role</t>
  </si>
  <si>
    <t>caption</t>
  </si>
  <si>
    <t>hero-2026</t>
  </si>
  <si>
    <t>photo</t>
  </si>
  <si>
    <t>tournament</t>
  </si>
  <si>
    <t>hero</t>
  </si>
  <si>
    <t>Optional tournament hero image reference</t>
  </si>
  <si>
    <t>home-feature</t>
  </si>
  <si>
    <t>site</t>
  </si>
  <si>
    <t>homepage</t>
  </si>
  <si>
    <t>featured</t>
  </si>
  <si>
    <t>Optional homepage featured image</t>
  </si>
  <si>
    <t>profile-red-sam</t>
  </si>
  <si>
    <t>profile</t>
  </si>
  <si>
    <t>Official portrait key; asset remains outside workbook</t>
  </si>
  <si>
    <t>profile-navy-jj</t>
  </si>
  <si>
    <t>CYDER CUP • DATA DICTIONARY</t>
  </si>
  <si>
    <t>Sheet</t>
  </si>
  <si>
    <t>Field</t>
  </si>
  <si>
    <t>Required</t>
  </si>
  <si>
    <t>Manual / Calculated</t>
  </si>
  <si>
    <t>Definition</t>
  </si>
  <si>
    <t>Example</t>
  </si>
  <si>
    <t>Manual once</t>
  </si>
  <si>
    <t>Permanent player identifier used by website and joins.</t>
  </si>
  <si>
    <t>Manual</t>
  </si>
  <si>
    <t>Public player name.</t>
  </si>
  <si>
    <t>Permanent tournament identifier.</t>
  </si>
  <si>
    <t>Short one-sentence tournament summary.</t>
  </si>
  <si>
    <t>Team Navy won...</t>
  </si>
  <si>
    <t>Recommended</t>
  </si>
  <si>
    <t>Full multi-paragraph tournament narrative used on History.</t>
  </si>
  <si>
    <t>Text</t>
  </si>
  <si>
    <t>Featured image filename or key; image itself stays outside Excel.</t>
  </si>
  <si>
    <t>2026_041__...jpg</t>
  </si>
  <si>
    <t>Assigned once</t>
  </si>
  <si>
    <t>Permanent ID shared by every player row in the same match.</t>
  </si>
  <si>
    <t>Manual / lookup</t>
  </si>
  <si>
    <t>Player participating in that match row.</t>
  </si>
  <si>
    <t>Conditional</t>
  </si>
  <si>
    <t>Manual / derived</t>
  </si>
  <si>
    <t>Pipe-delimited partner IDs for team formats.</t>
  </si>
  <si>
    <t>Derived / review</t>
  </si>
  <si>
    <t>First opposing player or opposing team.</t>
  </si>
  <si>
    <t>Second opposing player in team matches.</t>
  </si>
  <si>
    <t>Yes when complete</t>
  </si>
  <si>
    <t>W, L, or T from that player's perspective.</t>
  </si>
  <si>
    <t>Calculated</t>
  </si>
  <si>
    <t>Formula / export</t>
  </si>
  <si>
    <t>1 for W, 0.5 for T, 0 for L.</t>
  </si>
  <si>
    <t>Permanent award occurrence identifier.</t>
  </si>
  <si>
    <t>2026-mvp-jj</t>
  </si>
  <si>
    <t>Reference to an external photo/video asset.</t>
  </si>
  <si>
    <t>Record value derived from match/tournament feeds.</t>
  </si>
  <si>
    <t>10</t>
  </si>
  <si>
    <t>Website-level setting value.</t>
  </si>
  <si>
    <t>Partners</t>
  </si>
  <si>
    <t>Individual</t>
  </si>
  <si>
    <t>Tobiano Golf Course</t>
  </si>
  <si>
    <t>The Dunes Golf Course</t>
  </si>
  <si>
    <t>Sun Peaks Golf Course</t>
  </si>
  <si>
    <t>Eaglepoint Golf Resort</t>
  </si>
  <si>
    <t>Bighorn Golf and Country Club</t>
  </si>
  <si>
    <t>Talking Rock Golf Resort</t>
  </si>
  <si>
    <t>Big Sky Golf Club</t>
  </si>
  <si>
    <t>Sunstone Golf Club</t>
  </si>
  <si>
    <t>Nicklaus North Golf Club</t>
  </si>
  <si>
    <t>Fairmont Chateau</t>
  </si>
  <si>
    <t>Whistler Golf Club</t>
  </si>
  <si>
    <t>Nicklaus North Golf Course | Big Sky Golf Club | Sunstone Golf Club</t>
  </si>
  <si>
    <t xml:space="preserve">An original founder of the Cyder Cup. Currently seeing the numbers on the scale go down and numbers on the scorecard go up. </t>
  </si>
  <si>
    <t xml:space="preserve">George can't flip a cup but he can certainly flip a match. Known for bringing his corporate professionalism to the party. 
</t>
  </si>
  <si>
    <t xml:space="preserve">Running away from his problems in Scottsdale, Arizona, JJ is known for playing good golf every weekend except the Cyder Cup weekend. Only player to bring extras clubs to the Cyder Cup given the high likelihood one gets snapped in half or stuck in a tree. </t>
  </si>
  <si>
    <t>An original founder of the Cyder Cup. Sam's golf game closely mirrors his excel spreadsheets; aesthetically pleasing to the eye, often over-engineered, and on rare occasion has no #VALUE.</t>
  </si>
  <si>
    <t xml:space="preserve">One half of the lefty brothers. As good at sinking putts and he is sinking ping pong balls. Proudly hold the worst athleticism-to-swing speed ratio. </t>
  </si>
  <si>
    <t xml:space="preserve">Sean has become the sneaky backbone of the Cyder Cup culture. Whether its his energy or his golf, Sean never goes below 100. </t>
  </si>
  <si>
    <t>Breaking records and breaking (his own) bones. Known for his fiery personality, Dylan spends Cyder Cup weekend seeing red—both physically and mentally. No player is more due for a breakout performance in 2026.</t>
  </si>
  <si>
    <t>Steve Wells</t>
  </si>
  <si>
    <t>navy-Steve</t>
  </si>
  <si>
    <t>Steve</t>
  </si>
  <si>
    <t>Regarded as the Dad of the group. Steve's special talent is his ability to 4-putt multiple times in a round yet still not lose. Team Navy's most winningest player in the history of the Cyder Cup.</t>
  </si>
  <si>
    <t>Royal Porthcawl</t>
  </si>
  <si>
    <t>Peppermint tea</t>
  </si>
  <si>
    <t>Holding out for a Hero - RIP Bonnie</t>
  </si>
  <si>
    <t>Talk of the Town – Fred Again</t>
  </si>
  <si>
    <t>navy-steven</t>
  </si>
  <si>
    <t>navy-steve</t>
  </si>
  <si>
    <t>steven Wells</t>
  </si>
  <si>
    <t>Feed - Page Media</t>
  </si>
  <si>
    <t>Assign page_id, section_id, display_order and priority as needed. File paths are based on the supplied year folders and exact filenames.</t>
  </si>
  <si>
    <t>sequence</t>
  </si>
  <si>
    <t>file_name</t>
  </si>
  <si>
    <t>file_path</t>
  </si>
  <si>
    <t>subjects</t>
  </si>
  <si>
    <t>activity</t>
  </si>
  <si>
    <t>file_type</t>
  </si>
  <si>
    <t>file_size_kb</t>
  </si>
  <si>
    <t>page_id</t>
  </si>
  <si>
    <t>section_id</t>
  </si>
  <si>
    <t>priority</t>
  </si>
  <si>
    <t>alt_text</t>
  </si>
  <si>
    <t>object_position</t>
  </si>
  <si>
    <t>notes</t>
  </si>
  <si>
    <t>photo-2019-001</t>
  </si>
  <si>
    <t>2019_001__george__drinking.JPG</t>
  </si>
  <si>
    <t>/history/2019/2019_001__george__drinking.JPG</t>
  </si>
  <si>
    <t>george</t>
  </si>
  <si>
    <t>drinking</t>
  </si>
  <si>
    <t>JPG</t>
  </si>
  <si>
    <t>center</t>
  </si>
  <si>
    <t>photo-2019-002</t>
  </si>
  <si>
    <t>2019_002__kevin_golfing.JPG</t>
  </si>
  <si>
    <t>/history/2019/2019_002__kevin_golfing.JPG</t>
  </si>
  <si>
    <t>kevin, golfing</t>
  </si>
  <si>
    <t>photo-2019-003</t>
  </si>
  <si>
    <t>2019_003__steve_eric_george_jj_sean_kevin_dylan_sam__group_picture.JPG</t>
  </si>
  <si>
    <t>/history/2019/2019_003__steve_eric_george_jj_sean_kevin_dylan_sam__group_picture.JPG</t>
  </si>
  <si>
    <t>steve, eric, george, jj, sean, kevin, dylan, sam</t>
  </si>
  <si>
    <t>group picture</t>
  </si>
  <si>
    <t>photo-2019-004</t>
  </si>
  <si>
    <t>2019_004__teamnavy_teamred__lunch.jpg</t>
  </si>
  <si>
    <t>/history/2019/2019_004__teamnavy_teamred__lunch.jpg</t>
  </si>
  <si>
    <t>teamnavy, teamred</t>
  </si>
  <si>
    <t>lunch</t>
  </si>
  <si>
    <t>photo-2019-005</t>
  </si>
  <si>
    <t>2019_005__george__drinking.JPG</t>
  </si>
  <si>
    <t>/history/2019/2019_005__george__drinking.JPG</t>
  </si>
  <si>
    <t>photo-2019-006</t>
  </si>
  <si>
    <t>2019_006__eric__practicing.JPG</t>
  </si>
  <si>
    <t>/history/2019/2019_006__eric__practicing.JPG</t>
  </si>
  <si>
    <t>eric</t>
  </si>
  <si>
    <t>practicing</t>
  </si>
  <si>
    <t>photo-2019-007</t>
  </si>
  <si>
    <t>2019_007__dylan__practicing.JPG</t>
  </si>
  <si>
    <t>/history/2019/2019_007__dylan__practicing.JPG</t>
  </si>
  <si>
    <t>dylan</t>
  </si>
  <si>
    <t>photo-2019-008</t>
  </si>
  <si>
    <t>golfing</t>
  </si>
  <si>
    <t>Filename contains 'geroge'; confirm whether it should be 'george'.</t>
  </si>
  <si>
    <t>photo-2019-009</t>
  </si>
  <si>
    <t>2019_009__steve_jj_eric_george__practicing.JPG</t>
  </si>
  <si>
    <t>/history/2019/2019_009__steve_jj_eric_george__practicing.JPG</t>
  </si>
  <si>
    <t>steve, jj, eric, george</t>
  </si>
  <si>
    <t>photo-2019-010</t>
  </si>
  <si>
    <t>2019_010__steve_jj_eric_george__group_photo.JPG</t>
  </si>
  <si>
    <t>/history/2019/2019_010__steve_jj_eric_george__group_photo.JPG</t>
  </si>
  <si>
    <t>group photo</t>
  </si>
  <si>
    <t>photo-2019-011</t>
  </si>
  <si>
    <t>2019_011__dylan_sam_kevin_sean__group_photo.JPG</t>
  </si>
  <si>
    <t>/history/2019/2019_011__dylan_sam_kevin_sean__group_photo.JPG</t>
  </si>
  <si>
    <t>dylan, sam, kevin, sean</t>
  </si>
  <si>
    <t>photo-2019-012</t>
  </si>
  <si>
    <t>2019_012__jj__golfing.JPG</t>
  </si>
  <si>
    <t>/history/2019/2019_012__jj__golfing.JPG</t>
  </si>
  <si>
    <t>jj</t>
  </si>
  <si>
    <t>photo-2019-013</t>
  </si>
  <si>
    <t>2019_013__jj__golfing.JPG</t>
  </si>
  <si>
    <t>/history/2019/2019_013__jj__golfing.JPG</t>
  </si>
  <si>
    <t>photo-2019-014</t>
  </si>
  <si>
    <t>2019_014__eric__practicing.JPG</t>
  </si>
  <si>
    <t>/history/2019/2019_014__eric__practicing.JPG</t>
  </si>
  <si>
    <t>photo-2019-015</t>
  </si>
  <si>
    <t>2019_015__steve__practicing.JPG</t>
  </si>
  <si>
    <t>/history/2019/2019_015__steve__practicing.JPG</t>
  </si>
  <si>
    <t>steve</t>
  </si>
  <si>
    <t>photo-2019-016</t>
  </si>
  <si>
    <t>2019_016__sean__golfing.JPG</t>
  </si>
  <si>
    <t>/history/2019/2019_016__sean__golfing.JPG</t>
  </si>
  <si>
    <t>sean</t>
  </si>
  <si>
    <t>photo-2019-017</t>
  </si>
  <si>
    <t>2019_017__jj__drinking.JPG</t>
  </si>
  <si>
    <t>/history/2019/2019_017__jj__drinking.JPG</t>
  </si>
  <si>
    <t>photo-2019-018</t>
  </si>
  <si>
    <t>2019_018__steve__golfing.JPG</t>
  </si>
  <si>
    <t>/history/2019/2019_018__steve__golfing.JPG</t>
  </si>
  <si>
    <t>photo-2019-019</t>
  </si>
  <si>
    <t>2019_019__sean__golfing.JPG</t>
  </si>
  <si>
    <t>/history/2019/2019_019__sean__golfing.JPG</t>
  </si>
  <si>
    <t>photo-2019-020</t>
  </si>
  <si>
    <t>2019_020__kevin__drinking.JPG</t>
  </si>
  <si>
    <t>/history/2019/2019_020__kevin__drinking.JPG</t>
  </si>
  <si>
    <t>kevin</t>
  </si>
  <si>
    <t>photo-2019-021</t>
  </si>
  <si>
    <t>2019_021__eric__golfing.jpg</t>
  </si>
  <si>
    <t>/history/2019/2019_021__eric__golfing.jpg</t>
  </si>
  <si>
    <t>photo-2019-022</t>
  </si>
  <si>
    <t>2019_022__kevin__golfing.jpg</t>
  </si>
  <si>
    <t>/history/2019/2019_022__kevin__golfing.jpg</t>
  </si>
  <si>
    <t>photo-2019-023</t>
  </si>
  <si>
    <t>2019_023__jj__golfing.jpg</t>
  </si>
  <si>
    <t>/history/2019/2019_023__jj__golfing.jpg</t>
  </si>
  <si>
    <t>photo-2019-024</t>
  </si>
  <si>
    <t>2019_024__sam__golfing.jpg</t>
  </si>
  <si>
    <t>/history/2019/2019_024__sam__golfing.jpg</t>
  </si>
  <si>
    <t>sam</t>
  </si>
  <si>
    <t>photo-2019-025</t>
  </si>
  <si>
    <t>2019_025__sean__golfing.jpg</t>
  </si>
  <si>
    <t>/history/2019/2019_025__sean__golfing.jpg</t>
  </si>
  <si>
    <t>photo-2019-026</t>
  </si>
  <si>
    <t>2019_026__sean__golfing.jpg</t>
  </si>
  <si>
    <t>/history/2019/2019_026__sean__golfing.jpg</t>
  </si>
  <si>
    <t>photo-2019-027</t>
  </si>
  <si>
    <t>2019_027__steve__golfing.jpg</t>
  </si>
  <si>
    <t>/history/2019/2019_027__steve__golfing.jpg</t>
  </si>
  <si>
    <t>photo-2019-028</t>
  </si>
  <si>
    <t>2019_028__sam__golfing.PNG</t>
  </si>
  <si>
    <t>/history/2019/2019_028__sam__golfing.PNG</t>
  </si>
  <si>
    <t>PNG</t>
  </si>
  <si>
    <t>photo-2019-029</t>
  </si>
  <si>
    <t>2019_029__JJ__golfing.jpeg</t>
  </si>
  <si>
    <t>/history/2019/2019_029__JJ__golfing.jpeg</t>
  </si>
  <si>
    <t>JPEG</t>
  </si>
  <si>
    <t>photo-2019-030</t>
  </si>
  <si>
    <t>2019_030__tobiano__scenic.JPG</t>
  </si>
  <si>
    <t>/history/2019/2019_030__tobiano__scenic.JPG</t>
  </si>
  <si>
    <t>tobiano</t>
  </si>
  <si>
    <t>scenic</t>
  </si>
  <si>
    <t>photo-2019-031</t>
  </si>
  <si>
    <t>2019_031__george_kevin__celebrating.jpg</t>
  </si>
  <si>
    <t>/history/2019/2019_031__george_kevin__celebrating.jpg</t>
  </si>
  <si>
    <t>george, kevin</t>
  </si>
  <si>
    <t>celebrating</t>
  </si>
  <si>
    <t>photo-2019-032</t>
  </si>
  <si>
    <t>2019_032__sam_steve_kevin_sean__partying.JPG</t>
  </si>
  <si>
    <t>/history/2019/2019_032__sam_steve_kevin_sean__partying.JPG</t>
  </si>
  <si>
    <t>sam, steve, kevin, sean</t>
  </si>
  <si>
    <t>partying</t>
  </si>
  <si>
    <t>photo-2021-001</t>
  </si>
  <si>
    <t>2021_001__sean__golfing.JPG</t>
  </si>
  <si>
    <t>/history/2021/2021_001__sean__golfing.JPG</t>
  </si>
  <si>
    <t>photo-2021-002</t>
  </si>
  <si>
    <t>2021_002__eric_steve_george_jj__team_picture_golfing.jpg</t>
  </si>
  <si>
    <t>/history/2021/2021_002__eric_steve_george_jj__team_picture_golfing.jpg</t>
  </si>
  <si>
    <t>eric, steve, george, jj</t>
  </si>
  <si>
    <t>team picture golfing</t>
  </si>
  <si>
    <t>photo-2021-003</t>
  </si>
  <si>
    <t>2021_003__george_jj__team_picture_golfing.JPG</t>
  </si>
  <si>
    <t>/history/2021/2021_003__george_jj__team_picture_golfing.JPG</t>
  </si>
  <si>
    <t>george, jj</t>
  </si>
  <si>
    <t>photo-2021-004</t>
  </si>
  <si>
    <t>2021_004__eric__golfing.JPG</t>
  </si>
  <si>
    <t>/history/2021/2021_004__eric__golfing.JPG</t>
  </si>
  <si>
    <t>photo-2021-005</t>
  </si>
  <si>
    <t>2021_005__george__golfing.JPG</t>
  </si>
  <si>
    <t>/history/2021/2021_005__george__golfing.JPG</t>
  </si>
  <si>
    <t>photo-2021-006</t>
  </si>
  <si>
    <t>2021_006__steve__golfing.JPG</t>
  </si>
  <si>
    <t>/history/2021/2021_006__steve__golfing.JPG</t>
  </si>
  <si>
    <t>photo-2021-007</t>
  </si>
  <si>
    <t>2021_007__steve__golfing.JPG</t>
  </si>
  <si>
    <t>/history/2021/2021_007__steve__golfing.JPG</t>
  </si>
  <si>
    <t>photo-2021-008</t>
  </si>
  <si>
    <t>2021_008__sean_kevin_sam__hottub.JPG</t>
  </si>
  <si>
    <t>/history/2021/2021_008__sean_kevin_sam__hottub.JPG</t>
  </si>
  <si>
    <t>sean, kevin, sam</t>
  </si>
  <si>
    <t>hottub</t>
  </si>
  <si>
    <t>photo-2021-009</t>
  </si>
  <si>
    <t>2021_009__eric_steve_george_sean_kevin_sam__dinner.JPG</t>
  </si>
  <si>
    <t>/history/2021/2021_009__eric_steve_george_sean_kevin_sam__dinner.JPG</t>
  </si>
  <si>
    <t>eric, steve, george, sean, kevin, sam</t>
  </si>
  <si>
    <t>dinner</t>
  </si>
  <si>
    <t>photo-2021-010</t>
  </si>
  <si>
    <t>2021_010__jj_eric__golfing.JPG</t>
  </si>
  <si>
    <t>/history/2021/2021_010__jj_eric__golfing.JPG</t>
  </si>
  <si>
    <t>jj, eric</t>
  </si>
  <si>
    <t>photo-2021-011</t>
  </si>
  <si>
    <t>2021_011__sean_dylan_kevin_sam__hottub.JPG</t>
  </si>
  <si>
    <t>/history/2021/2021_011__sean_dylan_kevin_sam__hottub.JPG</t>
  </si>
  <si>
    <t>sean, dylan, kevin, sam</t>
  </si>
  <si>
    <t>photo-2021-012</t>
  </si>
  <si>
    <t>2021_012__steve__golfing.JPG</t>
  </si>
  <si>
    <t>/history/2021/2021_012__steve__golfing.JPG</t>
  </si>
  <si>
    <t>photo-2021-013</t>
  </si>
  <si>
    <t>2021_013__jj__golfing.JPG</t>
  </si>
  <si>
    <t>/history/2021/2021_013__jj__golfing.JPG</t>
  </si>
  <si>
    <t>photo-2021-014</t>
  </si>
  <si>
    <t>2021_014__jj__golfing.JPG</t>
  </si>
  <si>
    <t>/history/2021/2021_014__jj__golfing.JPG</t>
  </si>
  <si>
    <t>photo-2021-015</t>
  </si>
  <si>
    <t>2021_015__sean__golfing.JPG</t>
  </si>
  <si>
    <t>/history/2021/2021_015__sean__golfing.JPG</t>
  </si>
  <si>
    <t>photo-2021-016</t>
  </si>
  <si>
    <t>2021_016__dylan_sam__golfing.JPG</t>
  </si>
  <si>
    <t>/history/2021/2021_016__dylan_sam__golfing.JPG</t>
  </si>
  <si>
    <t>dylan, sam</t>
  </si>
  <si>
    <t>photo-2021-017</t>
  </si>
  <si>
    <t>2021_017__dylan_sam__golfing.JPG</t>
  </si>
  <si>
    <t>/history/2021/2021_017__dylan_sam__golfing.JPG</t>
  </si>
  <si>
    <t>photo-2021-018</t>
  </si>
  <si>
    <t>2021_018__eric__golfing.JPG</t>
  </si>
  <si>
    <t>/history/2021/2021_018__eric__golfing.JPG</t>
  </si>
  <si>
    <t>photo-2021-019</t>
  </si>
  <si>
    <t>2021_019__sean__golfing.JPG</t>
  </si>
  <si>
    <t>/history/2021/2021_019__sean__golfing.JPG</t>
  </si>
  <si>
    <t>photo-2021-020</t>
  </si>
  <si>
    <t>2021_020__george__golfing.JPG</t>
  </si>
  <si>
    <t>/history/2021/2021_020__george__golfing.JPG</t>
  </si>
  <si>
    <t>photo-2021-021</t>
  </si>
  <si>
    <t>2021_021__steve__golfing.JPG</t>
  </si>
  <si>
    <t>/history/2021/2021_021__steve__golfing.JPG</t>
  </si>
  <si>
    <t>photo-2021-022</t>
  </si>
  <si>
    <t>2021_022__steve_george_dylan_kevin__golfing.JPG</t>
  </si>
  <si>
    <t>/history/2021/2021_022__steve_george_dylan_kevin__golfing.JPG</t>
  </si>
  <si>
    <t>steve, george, dylan, kevin</t>
  </si>
  <si>
    <t>photo-2021-023</t>
  </si>
  <si>
    <t>2021_023__kevin_dylan__shotgun.JPG</t>
  </si>
  <si>
    <t>/history/2021/2021_023__kevin_dylan__shotgun.JPG</t>
  </si>
  <si>
    <t>kevin, dylan</t>
  </si>
  <si>
    <t>shotgun</t>
  </si>
  <si>
    <t>photo-2021-024</t>
  </si>
  <si>
    <t>2021_024__george_jj__practicing.jpeg</t>
  </si>
  <si>
    <t>/history/2021/2021_024__george_jj__practicing.jpeg</t>
  </si>
  <si>
    <t>photo-2021-025</t>
  </si>
  <si>
    <t>2021_025__kevin_sam_sean_dylan__team_picture_golfing.jpeg</t>
  </si>
  <si>
    <t>/history/2021/2021_025__kevin_sam_sean_dylan__team_picture_golfing.jpeg</t>
  </si>
  <si>
    <t>kevin, sam, sean, dylan</t>
  </si>
  <si>
    <t>photo-2021-026</t>
  </si>
  <si>
    <t>2021_026__steve_eric_sam_sean_george__practicing.JPG</t>
  </si>
  <si>
    <t>/history/2021/2021_026__steve_eric_sam_sean_george__practicing.JPG</t>
  </si>
  <si>
    <t>steve, eric, sam, sean, george</t>
  </si>
  <si>
    <t>photo-2021-027</t>
  </si>
  <si>
    <t>2021_027__george__golfing.JPG</t>
  </si>
  <si>
    <t>/history/2021/2021_027__george__golfing.JPG</t>
  </si>
  <si>
    <t>photo-2021-028</t>
  </si>
  <si>
    <t>2021_028__dylan__golfing.JPG</t>
  </si>
  <si>
    <t>/history/2021/2021_028__dylan__golfing.JPG</t>
  </si>
  <si>
    <t>photo-2021-029</t>
  </si>
  <si>
    <t>2021_029__kevin__golfing.JPG</t>
  </si>
  <si>
    <t>/history/2021/2021_029__kevin__golfing.JPG</t>
  </si>
  <si>
    <t>photo-2021-030</t>
  </si>
  <si>
    <t>2021_030__george_kevin__golfing.JPG</t>
  </si>
  <si>
    <t>/history/2021/2021_030__george_kevin__golfing.JPG</t>
  </si>
  <si>
    <t>photo-2021-031</t>
  </si>
  <si>
    <t>2021_031__sean_steve_jj_sam_george__hanging.JPG</t>
  </si>
  <si>
    <t>/history/2021/2021_031__sean_steve_jj_sam_george__hanging.JPG</t>
  </si>
  <si>
    <t>sean, steve, jj, sam, george</t>
  </si>
  <si>
    <t>hanging</t>
  </si>
  <si>
    <t>photo-2021-032</t>
  </si>
  <si>
    <t>2021_032__steve__peopleschamp.PNG</t>
  </si>
  <si>
    <t>/history/2021/2021_032__steve__peopleschamp.PNG</t>
  </si>
  <si>
    <t>peopleschamp</t>
  </si>
  <si>
    <t>photo-2021-033</t>
  </si>
  <si>
    <t>2021_033__steve_jj__celebrating.PNG</t>
  </si>
  <si>
    <t>/history/2021/2021_033__steve_jj__celebrating.PNG</t>
  </si>
  <si>
    <t>steve, jj</t>
  </si>
  <si>
    <t>photo-2021-034</t>
  </si>
  <si>
    <t>2021_034__sam__golfing.PNG</t>
  </si>
  <si>
    <t>/history/2021/2021_034__sam__golfing.PNG</t>
  </si>
  <si>
    <t>photo-2021-035</t>
  </si>
  <si>
    <t>2021_035__jj__golfing.PNG</t>
  </si>
  <si>
    <t>/history/2021/2021_035__jj__golfing.PNG</t>
  </si>
  <si>
    <t>photo-2021-036</t>
  </si>
  <si>
    <t>2021_036__jj__sleeping.jpg</t>
  </si>
  <si>
    <t>/history/2021/2021_036__jj__sleeping.jpg</t>
  </si>
  <si>
    <t>sleeping</t>
  </si>
  <si>
    <t>photo-2022-001</t>
  </si>
  <si>
    <t>2022_001__jj_kevin__airbnb.JPG</t>
  </si>
  <si>
    <t>/history/2022/2022_001__jj_kevin__airbnb.JPG</t>
  </si>
  <si>
    <t>jj, kevin</t>
  </si>
  <si>
    <t>airbnb</t>
  </si>
  <si>
    <t>photo-2022-002</t>
  </si>
  <si>
    <t>2022_002__sam_sean__golf_picture.JPG</t>
  </si>
  <si>
    <t>/history/2022/2022_002__sam_sean__golf_picture.JPG</t>
  </si>
  <si>
    <t>sam, sean</t>
  </si>
  <si>
    <t>golf picture</t>
  </si>
  <si>
    <t>photo-2022-003</t>
  </si>
  <si>
    <t>2022_003__eric_golf_swing.JPG</t>
  </si>
  <si>
    <t>/history/2022/2022_003__eric_golf_swing.JPG</t>
  </si>
  <si>
    <t>eric, golf, swing</t>
  </si>
  <si>
    <t>photo-2022-004</t>
  </si>
  <si>
    <t>2022_004__sean_golf_swing.JPG</t>
  </si>
  <si>
    <t>/history/2022/2022_004__sean_golf_swing.JPG</t>
  </si>
  <si>
    <t>sean, golf, swing</t>
  </si>
  <si>
    <t>photo-2022-005</t>
  </si>
  <si>
    <t>2022_005__sam_sean_george_eric__golf_group_picture.JPG</t>
  </si>
  <si>
    <t>/history/2022/2022_005__sam_sean_george_eric__golf_group_picture.JPG</t>
  </si>
  <si>
    <t>sam, sean, george, eric</t>
  </si>
  <si>
    <t>golf group picture</t>
  </si>
  <si>
    <t>photo-2022-006</t>
  </si>
  <si>
    <t>2022_006__sam_jj__golf_picture.JPG</t>
  </si>
  <si>
    <t>/history/2022/2022_006__sam_jj__golf_picture.JPG</t>
  </si>
  <si>
    <t>sam, jj</t>
  </si>
  <si>
    <t>photo-2022-007</t>
  </si>
  <si>
    <t>fireplace</t>
  </si>
  <si>
    <t>photo-2022-008</t>
  </si>
  <si>
    <t>2022_008__steve__putting.JPG</t>
  </si>
  <si>
    <t>/history/2022/2022_008__steve__putting.JPG</t>
  </si>
  <si>
    <t>putting</t>
  </si>
  <si>
    <t>photo-2022-009</t>
  </si>
  <si>
    <t>2022_009__steve_sean__golfing.JPG</t>
  </si>
  <si>
    <t>/history/2022/2022_009__steve_sean__golfing.JPG</t>
  </si>
  <si>
    <t>steve, sean</t>
  </si>
  <si>
    <t>photo-2022-010</t>
  </si>
  <si>
    <t>2022_010__scenic.JPG</t>
  </si>
  <si>
    <t>/history/2022/2022_010__scenic.JPG</t>
  </si>
  <si>
    <t>photo-2022-011</t>
  </si>
  <si>
    <t>2022_011__george_sam_steve__airbnb.JPG</t>
  </si>
  <si>
    <t>/history/2022/2022_011__george_sam_steve__airbnb.JPG</t>
  </si>
  <si>
    <t>george, sam, steve</t>
  </si>
  <si>
    <t>photo-2022-012</t>
  </si>
  <si>
    <t>2022_012__kevin_sean__beerpong.JPG</t>
  </si>
  <si>
    <t>/history/2022/2022_012__kevin_sean__beerpong.JPG</t>
  </si>
  <si>
    <t>kevin, sean</t>
  </si>
  <si>
    <t>beerpong</t>
  </si>
  <si>
    <t>photo-2022-013</t>
  </si>
  <si>
    <t>2022_013__george_steve_eric_jj__group_party_picture.JPG</t>
  </si>
  <si>
    <t>/history/2022/2022_013__george_steve_eric_jj__group_party_picture.JPG</t>
  </si>
  <si>
    <t>george, steve, eric, jj</t>
  </si>
  <si>
    <t>group party picture</t>
  </si>
  <si>
    <t>photo-2022-014</t>
  </si>
  <si>
    <t>2022_014__sam_kevin_dylan_sean__group_party_picture.JPG</t>
  </si>
  <si>
    <t>/history/2022/2022_014__sam_kevin_dylan_sean__group_party_picture.JPG</t>
  </si>
  <si>
    <t>sam, kevin, dylan, sean</t>
  </si>
  <si>
    <t>photo-2022-015</t>
  </si>
  <si>
    <t>2022_015__sean_sam_kevin_dylan_george_steve_eric_jj__group_party_picture.JPG</t>
  </si>
  <si>
    <t>/history/2022/2022_015__sean_sam_kevin_dylan_george_steve_eric_jj__group_party_picture.JPG</t>
  </si>
  <si>
    <t>sean, sam, kevin, dylan, george, steve, eric, jj</t>
  </si>
  <si>
    <t>photo-2022-016</t>
  </si>
  <si>
    <t>2022_016__sean_sam_kevin_dylan_george_steve_eric_jj__group_fireplace_picture.JPG</t>
  </si>
  <si>
    <t>/history/2022/2022_016__sean_sam_kevin_dylan_george_steve_eric_jj__group_fireplace_picture.JPG</t>
  </si>
  <si>
    <t>group fireplace picture</t>
  </si>
  <si>
    <t>photo-2022-017</t>
  </si>
  <si>
    <t>2022_017__sean_sam_kevin_dylan_george_steve_eric_jj__group_golf_picture.JPG</t>
  </si>
  <si>
    <t>/history/2022/2022_017__sean_sam_kevin_dylan_george_steve_eric_jj__group_golf_picture.JPG</t>
  </si>
  <si>
    <t>group golf picture</t>
  </si>
  <si>
    <t>photo-2022-017-2</t>
  </si>
  <si>
    <t>2022_017__sean_sam_kevin_dylan_george_steve_eric_jj__group_lunch_picture.JPG</t>
  </si>
  <si>
    <t>/history/2022/2022_017__sean_sam_kevin_dylan_george_steve_eric_jj__group_lunch_picture.JPG</t>
  </si>
  <si>
    <t>group lunch picture</t>
  </si>
  <si>
    <t>photo-2022-018</t>
  </si>
  <si>
    <t>2022_018__george_steve_eric_jj__group_golf_picture.JPG</t>
  </si>
  <si>
    <t>/history/2022/2022_018__george_steve_eric_jj__group_golf_picture.JPG</t>
  </si>
  <si>
    <t>photo-2022-019</t>
  </si>
  <si>
    <t>2022_019__sam_kevin_dylan_sean__group_golf_picture.JPG</t>
  </si>
  <si>
    <t>/history/2022/2022_019__sam_kevin_dylan_sean__group_golf_picture.JPG</t>
  </si>
  <si>
    <t>photo-2022-020</t>
  </si>
  <si>
    <t>2022_020__sam___golf_picture.JPG</t>
  </si>
  <si>
    <t>/history/2022/2022_020__sam___golf_picture.JPG</t>
  </si>
  <si>
    <t>photo-2022-021</t>
  </si>
  <si>
    <t>2022_021__sam___golf_picture.JPG</t>
  </si>
  <si>
    <t>/history/2022/2022_021__sam___golf_picture.JPG</t>
  </si>
  <si>
    <t>photo-2022-022</t>
  </si>
  <si>
    <t>2022_022__sam_sean_eric___golf_picture.JPG</t>
  </si>
  <si>
    <t>/history/2022/2022_022__sam_sean_eric___golf_picture.JPG</t>
  </si>
  <si>
    <t>sam, sean, eric</t>
  </si>
  <si>
    <t>photo-2022-023</t>
  </si>
  <si>
    <t>2022_023__jj_eric_george_drinking.JPG</t>
  </si>
  <si>
    <t>/history/2022/2022_023__jj_eric_george_drinking.JPG</t>
  </si>
  <si>
    <t>jj, eric, george, drinking</t>
  </si>
  <si>
    <t>photo-2025-001</t>
  </si>
  <si>
    <t>2025_001__george__golfing.JPG</t>
  </si>
  <si>
    <t>/history/2025/2025_001__george__golfing.JPG</t>
  </si>
  <si>
    <t>photo-2025-002</t>
  </si>
  <si>
    <t>2025_002__bear__wildlife.JPG</t>
  </si>
  <si>
    <t>/history/2025/2025_002__bear__wildlife.JPG</t>
  </si>
  <si>
    <t>bear</t>
  </si>
  <si>
    <t>wildlife</t>
  </si>
  <si>
    <t>photo-2025-003</t>
  </si>
  <si>
    <t>2025_003__dylan__golfing.JPG</t>
  </si>
  <si>
    <t>/history/2025/2025_003__dylan__golfing.JPG</t>
  </si>
  <si>
    <t>photo-2025-004</t>
  </si>
  <si>
    <t>2025_004__george__golfing.JPG</t>
  </si>
  <si>
    <t>/history/2025/2025_004__george__golfing.JPG</t>
  </si>
  <si>
    <t>photo-2025-005</t>
  </si>
  <si>
    <t>2025_005__jj__golfing.JPG</t>
  </si>
  <si>
    <t>/history/2025/2025_005__jj__golfing.JPG</t>
  </si>
  <si>
    <t>photo-2025-006</t>
  </si>
  <si>
    <t>2025_006__jj__golfing.JPG</t>
  </si>
  <si>
    <t>/history/2025/2025_006__jj__golfing.JPG</t>
  </si>
  <si>
    <t>photo-2025-007</t>
  </si>
  <si>
    <t>2025_007__jj_sam__embrace.JPG</t>
  </si>
  <si>
    <t>/history/2025/2025_007__jj_sam__embrace.JPG</t>
  </si>
  <si>
    <t>jj, sam</t>
  </si>
  <si>
    <t>embrace</t>
  </si>
  <si>
    <t>photo-2025-008</t>
  </si>
  <si>
    <t>2025_008__sam_dylan_george_jj__embrace.JPG</t>
  </si>
  <si>
    <t>/history/2025/2025_008__sam_dylan_george_jj__embrace.JPG</t>
  </si>
  <si>
    <t>sam, dylan, george, jj</t>
  </si>
  <si>
    <t>photo-2025-009</t>
  </si>
  <si>
    <t>2025_009__sam_sean_dylan_kevin__teamred__embrace.JPG</t>
  </si>
  <si>
    <t>/history/2025/2025_009__sam_sean_dylan_kevin__teamred__embrace.JPG</t>
  </si>
  <si>
    <t>sam, sean, dylan, kevin</t>
  </si>
  <si>
    <t>teamred</t>
  </si>
  <si>
    <t>photo-2025-010</t>
  </si>
  <si>
    <t>2025_010__sam_kevin_sean__beer.JPG</t>
  </si>
  <si>
    <t>/history/2025/2025_010__sam_kevin_sean__beer.JPG</t>
  </si>
  <si>
    <t>sam, kevin, sean</t>
  </si>
  <si>
    <t>beer</t>
  </si>
  <si>
    <t>photo-2025-011</t>
  </si>
  <si>
    <t>2025_011__sean_sam_dylan_kevin_steve_jj_eric_george__hangout.JPG</t>
  </si>
  <si>
    <t>/history/2025/2025_011__sean_sam_dylan_kevin_steve_jj_eric_george__hangout.JPG</t>
  </si>
  <si>
    <t>sean, sam, dylan, kevin, steve, jj, eric, george</t>
  </si>
  <si>
    <t>hangout</t>
  </si>
  <si>
    <t>photo-2025-012</t>
  </si>
  <si>
    <t>2025_012__jj__golfing.JPG</t>
  </si>
  <si>
    <t>/history/2025/2025_012__jj__golfing.JPG</t>
  </si>
  <si>
    <t>photo-2025-013</t>
  </si>
  <si>
    <t>2025_013__george_sam__peoples_champ.JPG</t>
  </si>
  <si>
    <t>/history/2025/2025_013__george_sam__peoples_champ.JPG</t>
  </si>
  <si>
    <t>george, sam</t>
  </si>
  <si>
    <t>peoples champ</t>
  </si>
  <si>
    <t>photo-2025-014</t>
  </si>
  <si>
    <t>party group picture</t>
  </si>
  <si>
    <t>photo-2025-015</t>
  </si>
  <si>
    <t>2025_015_sean_sam_kevin_dylan__party_group_picture.JPG</t>
  </si>
  <si>
    <t>/history/2025/2025_015_sean_sam_kevin_dylan__party_group_picture.JPG</t>
  </si>
  <si>
    <t>photo-2025-016</t>
  </si>
  <si>
    <t>2025_016__sean_sam_dylan_kevin_steve_jj_eric_george__first_tee_group_picture.JPG</t>
  </si>
  <si>
    <t>/history/2025/2025_016__sean_sam_dylan_kevin_steve_jj_eric_george__first_tee_group_picture.JPG</t>
  </si>
  <si>
    <t>first tee group picture</t>
  </si>
  <si>
    <t>photo-2025-017</t>
  </si>
  <si>
    <t>2025_017__sean_sam_dylan_kevin_steve_jj_eric_george__party_group_picture.JPG</t>
  </si>
  <si>
    <t>/history/2025/2025_017__sean_sam_dylan_kevin_steve_jj_eric_george__party_group_picture.JPG</t>
  </si>
  <si>
    <t>photo-2025-018</t>
  </si>
  <si>
    <t>2025_018__sam_sean_dylan_kevin__teamred__first_tee_team_picture.JPG</t>
  </si>
  <si>
    <t>/history/2025/2025_018__sam_sean_dylan_kevin__teamred__first_tee_team_picture.JPG</t>
  </si>
  <si>
    <t>photo-2025-019</t>
  </si>
  <si>
    <t>photo-2025-020</t>
  </si>
  <si>
    <t>2025_020__jj_sam__shotgun.JPG</t>
  </si>
  <si>
    <t>/history/2025/2025_020__jj_sam__shotgun.JPG</t>
  </si>
  <si>
    <t>steve, dylan, george, eric, sean</t>
  </si>
  <si>
    <t>2022_007__steve_dylan_george_eric_sean__fireplace.JPG</t>
  </si>
  <si>
    <t>/history/2022/2022_007__steve_dylan_george_eric_sean__fireplace.JPG</t>
  </si>
  <si>
    <t>Filename contains 'steve'; confirm whether it should be 'steve'.</t>
  </si>
  <si>
    <t>2025_014__steve_jj_eric_george__party_group_picture.JPG</t>
  </si>
  <si>
    <t>/history/2025/2025_014__steve_jj_eric_george__party_group_picture.JPG</t>
  </si>
  <si>
    <t>2025_019__steve_jj_eric_george__first_tee_group_picture.JPG</t>
  </si>
  <si>
    <t>/history/2025/2025_019__steve_jj_eric_george__first_tee_group_picture.JPG</t>
  </si>
  <si>
    <t>home</t>
  </si>
  <si>
    <t>featured-story</t>
  </si>
  <si>
    <t>gallery-preview</t>
  </si>
  <si>
    <t>player-profile</t>
  </si>
  <si>
    <t>gallery</t>
  </si>
  <si>
    <t>history</t>
  </si>
  <si>
    <t>tournament-gallery</t>
  </si>
  <si>
    <t>sean, sam, dylan, kevin</t>
  </si>
  <si>
    <t>50% 35%</t>
  </si>
  <si>
    <t>sean, sam, kevin, dylan</t>
  </si>
  <si>
    <t>50% 20%</t>
  </si>
  <si>
    <t>2019_008__geroge__golfing.jpg</t>
  </si>
  <si>
    <t>/history/2019/2019_008__geroge__golfing.jpg</t>
  </si>
  <si>
    <t>Group 1</t>
  </si>
  <si>
    <t>Group 2</t>
  </si>
  <si>
    <t>scheduled_date</t>
  </si>
  <si>
    <t>3:40pm</t>
  </si>
  <si>
    <t>3:50pm</t>
  </si>
  <si>
    <t>9:00pm</t>
  </si>
  <si>
    <t>10:00pm</t>
  </si>
  <si>
    <t>1:00pm</t>
  </si>
  <si>
    <t>1:10pm</t>
  </si>
  <si>
    <t>8:00pm</t>
  </si>
  <si>
    <t>1:20pm</t>
  </si>
  <si>
    <t>1:30pm</t>
  </si>
  <si>
    <t>tee_group</t>
  </si>
  <si>
    <t>Flip cup</t>
  </si>
  <si>
    <t>Beer pong</t>
  </si>
  <si>
    <t>Relay race</t>
  </si>
  <si>
    <t>Beer darts</t>
  </si>
  <si>
    <t>Chesties</t>
  </si>
  <si>
    <t>front_9</t>
  </si>
  <si>
    <t>back_9</t>
  </si>
  <si>
    <t>total_score</t>
  </si>
  <si>
    <t>Team Navy Scramble</t>
  </si>
  <si>
    <t>Team Red Scramble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</si>
</sst>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m\ d\,\ yyyy"/>
    <numFmt numFmtId="165" formatCode="0.0%"/>
    <numFmt numFmtId="166" formatCode="0.0"/>
    <numFmt numFmtId="167" formatCode="yyyy\-mm\-dd"/>
  </numFmts>
  <fonts count="48">
    <font>
      <sz val="10"/>
      <color rgb="FF000000"/>
      <name val="Arial"/>
    </font>
    <font>
      <sz val="10"/>
      <color theme="1"/>
      <name val="Arial"/>
      <family val="2"/>
    </font>
    <font>
      <b/>
      <sz val="10"/>
      <color rgb="FFFFFFFF"/>
      <name val="Arial"/>
      <family val="2"/>
    </font>
    <font>
      <b/>
      <sz val="22"/>
      <color rgb="FFFFFFFF"/>
      <name val="Arial"/>
      <family val="2"/>
    </font>
    <font>
      <i/>
      <sz val="10"/>
      <color rgb="FF17202A"/>
      <name val="Arial"/>
      <family val="2"/>
    </font>
    <font>
      <sz val="10"/>
      <color rgb="FF172033"/>
      <name val="Aptos"/>
      <family val="2"/>
    </font>
    <font>
      <b/>
      <sz val="30"/>
      <color rgb="FF0B1F3A"/>
      <name val="Aptos"/>
      <family val="2"/>
    </font>
    <font>
      <b/>
      <sz val="10"/>
      <color rgb="FFFFFFFF"/>
      <name val="Aptos"/>
      <family val="2"/>
    </font>
    <font>
      <b/>
      <sz val="10"/>
      <color rgb="FF1F2937"/>
      <name val="Aptos"/>
      <family val="2"/>
    </font>
    <font>
      <sz val="10"/>
      <color rgb="FF1F2937"/>
      <name val="Aptos"/>
      <family val="2"/>
    </font>
    <font>
      <i/>
      <sz val="10"/>
      <color rgb="FF1F2937"/>
      <name val="Aptos"/>
      <family val="2"/>
    </font>
    <font>
      <b/>
      <sz val="20"/>
      <color rgb="FFFFFFFF"/>
      <name val="Aptos"/>
      <family val="2"/>
    </font>
    <font>
      <b/>
      <sz val="14"/>
      <color rgb="FFFFFFFF"/>
      <name val="Aptos"/>
      <family val="2"/>
    </font>
    <font>
      <b/>
      <sz val="30"/>
      <color rgb="FF9C1C2B"/>
      <name val="Aptos"/>
      <family val="2"/>
    </font>
    <font>
      <b/>
      <sz val="12"/>
      <color rgb="FF1F2937"/>
      <name val="Aptos"/>
      <family val="2"/>
    </font>
    <font>
      <b/>
      <sz val="9"/>
      <color rgb="FF6B7280"/>
      <name val="Aptos"/>
      <family val="2"/>
    </font>
    <font>
      <sz val="9"/>
      <color rgb="FF6B7280"/>
      <name val="Aptos"/>
      <family val="2"/>
    </font>
    <font>
      <b/>
      <sz val="13"/>
      <color rgb="FFFFFFFF"/>
      <name val="Aptos"/>
      <family val="2"/>
    </font>
    <font>
      <b/>
      <i/>
      <sz val="13"/>
      <color rgb="FFFFFFFF"/>
      <name val="Aptos"/>
      <family val="2"/>
    </font>
    <font>
      <b/>
      <sz val="10"/>
      <color rgb="FF7F1D1D"/>
      <name val="Aptos"/>
      <family val="2"/>
    </font>
    <font>
      <sz val="10"/>
      <color rgb="FF1F2937"/>
      <name val="Aptos"/>
      <family val="2"/>
    </font>
    <font>
      <i/>
      <sz val="10"/>
      <color rgb="FF1F2937"/>
      <name val="Aptos"/>
      <family val="2"/>
    </font>
    <font>
      <sz val="10"/>
      <color rgb="FF000000"/>
      <name val="Arial"/>
      <family val="2"/>
    </font>
    <font>
      <b/>
      <sz val="10"/>
      <color theme="0"/>
      <name val="Aptos"/>
      <family val="2"/>
    </font>
    <font>
      <b/>
      <sz val="10"/>
      <color rgb="FF1F2937"/>
      <name val="Aptos"/>
      <family val="2"/>
    </font>
    <font>
      <b/>
      <sz val="12"/>
      <color rgb="FFFFFFFF"/>
      <name val="Aptos"/>
      <family val="2"/>
    </font>
    <font>
      <b/>
      <i/>
      <sz val="12"/>
      <color rgb="FFFFFFFF"/>
      <name val="Aptos"/>
      <family val="2"/>
    </font>
    <font>
      <b/>
      <sz val="16"/>
      <color rgb="FFFFFFFF"/>
      <name val="Aptos"/>
      <family val="2"/>
    </font>
    <font>
      <b/>
      <sz val="20"/>
      <color rgb="FFFFFFFF"/>
      <name val="Aptos Display"/>
      <family val="2"/>
    </font>
    <font>
      <b/>
      <i/>
      <sz val="10"/>
      <color rgb="FF5B6472"/>
      <name val="Aptos"/>
      <family val="2"/>
    </font>
    <font>
      <i/>
      <sz val="10"/>
      <color rgb="FF5B6472"/>
      <name val="Aptos"/>
      <family val="2"/>
    </font>
    <font>
      <b/>
      <sz val="11"/>
      <color rgb="FFFFFFFF"/>
      <name val="Aptos"/>
      <family val="2"/>
    </font>
    <font>
      <b/>
      <sz val="10"/>
      <color rgb="FF172033"/>
      <name val="Aptos"/>
      <family val="2"/>
    </font>
    <font>
      <sz val="10"/>
      <color rgb="FF1F2937"/>
      <name val="Aptos"/>
      <family val="2"/>
    </font>
    <font>
      <sz val="9"/>
      <color rgb="FF666666"/>
      <name val="Arial"/>
      <family val="2"/>
    </font>
    <font>
      <b/>
      <sz val="9"/>
      <color rgb="FF0B2A4A"/>
      <name val="Arial"/>
      <family val="2"/>
    </font>
    <font>
      <b/>
      <sz val="18"/>
      <color rgb="FFFFFFFF"/>
      <name val="Arial"/>
      <family val="2"/>
    </font>
    <font>
      <i/>
      <sz val="10"/>
      <color rgb="FF1F2937"/>
      <name val="Arial"/>
      <family val="2"/>
    </font>
    <font>
      <b/>
      <sz val="10"/>
      <color rgb="FF10233F"/>
      <name val="Arial"/>
      <family val="2"/>
    </font>
    <font>
      <i/>
      <sz val="10"/>
      <color rgb="FF6B7280"/>
      <name val="Arial"/>
      <family val="2"/>
    </font>
    <font>
      <sz val="10"/>
      <color rgb="FF000000"/>
      <name val="Arial"/>
      <family val="2"/>
    </font>
    <font>
      <b/>
      <sz val="16"/>
      <color rgb="FFFFFFFF"/>
      <name val="Carlito"/>
    </font>
    <font>
      <i/>
      <sz val="10"/>
      <color rgb="FF46535B"/>
      <name val="Carlito"/>
    </font>
    <font>
      <b/>
      <sz val="10"/>
      <color rgb="FF071827"/>
      <name val="Carlito"/>
    </font>
    <font>
      <b/>
      <sz val="10"/>
      <color rgb="FF123D65"/>
      <name val="Carlito"/>
    </font>
    <font>
      <sz val="10"/>
      <color rgb="FF071827"/>
      <name val="Carlito"/>
    </font>
    <font>
      <b/>
      <sz val="10"/>
      <color rgb="FFFFFFFF"/>
      <name val="Aptos Display"/>
      <family val="2"/>
    </font>
    <font>
      <sz val="10"/>
      <color rgb="FF172033"/>
      <name val="Aptos"/>
      <family val="2"/>
    </font>
  </fonts>
  <fills count="47">
    <fill>
      <patternFill patternType="none"/>
    </fill>
    <fill>
      <patternFill patternType="gray125"/>
    </fill>
    <fill>
      <patternFill patternType="solid">
        <fgColor rgb="FF0B1F3A"/>
      </patternFill>
    </fill>
    <fill>
      <patternFill patternType="solid">
        <fgColor rgb="FFFFFFFF"/>
      </patternFill>
    </fill>
    <fill>
      <patternFill patternType="solid">
        <fgColor rgb="FFF4F6F8"/>
      </patternFill>
    </fill>
    <fill>
      <patternFill patternType="solid">
        <fgColor rgb="FF17202A"/>
      </patternFill>
    </fill>
    <fill>
      <patternFill patternType="solid">
        <fgColor rgb="FFFFF8E1"/>
      </patternFill>
    </fill>
    <fill>
      <patternFill patternType="solid">
        <fgColor rgb="FFF4F6F8"/>
      </patternFill>
    </fill>
    <fill>
      <patternFill patternType="solid">
        <fgColor rgb="FFF7F9FB"/>
      </patternFill>
    </fill>
    <fill>
      <patternFill patternType="solid">
        <fgColor rgb="FF0B1F3A"/>
      </patternFill>
    </fill>
    <fill>
      <patternFill patternType="solid">
        <fgColor rgb="FF17365D"/>
      </patternFill>
    </fill>
    <fill>
      <patternFill patternType="solid">
        <fgColor rgb="FF9C1C2B"/>
      </patternFill>
    </fill>
    <fill>
      <patternFill patternType="solid">
        <fgColor rgb="FFEAF0F8"/>
      </patternFill>
    </fill>
    <fill>
      <patternFill patternType="solid">
        <fgColor rgb="FFFCE8EA"/>
      </patternFill>
    </fill>
    <fill>
      <patternFill patternType="solid">
        <fgColor rgb="FFD9A300"/>
      </patternFill>
    </fill>
    <fill>
      <patternFill patternType="solid">
        <fgColor rgb="FFFFF2CC"/>
      </patternFill>
    </fill>
    <fill>
      <patternFill patternType="solid">
        <fgColor rgb="FFF9E79F"/>
      </patternFill>
    </fill>
    <fill>
      <patternFill patternType="solid">
        <fgColor rgb="FFF3F4F6"/>
      </patternFill>
    </fill>
    <fill>
      <patternFill patternType="solid">
        <fgColor rgb="FFFFFFFF"/>
      </patternFill>
    </fill>
    <fill>
      <patternFill patternType="solid">
        <fgColor rgb="FFF4CCCC"/>
      </patternFill>
    </fill>
    <fill>
      <patternFill patternType="solid">
        <fgColor rgb="FFD9EAF7"/>
      </patternFill>
    </fill>
    <fill>
      <patternFill patternType="solid">
        <fgColor theme="6"/>
      </patternFill>
    </fill>
    <fill>
      <patternFill patternType="solid">
        <fgColor theme="6" tint="-0.249977111117893"/>
        <bgColor indexed="65"/>
      </patternFill>
    </fill>
    <fill>
      <patternFill patternType="solid">
        <fgColor theme="5" tint="-0.249977111117893"/>
        <bgColor indexed="65"/>
      </patternFill>
    </fill>
    <fill>
      <patternFill patternType="solid">
        <fgColor theme="4" tint="-0.249977111117893"/>
        <bgColor indexed="65"/>
      </patternFill>
    </fill>
    <fill>
      <patternFill patternType="solid">
        <fgColor theme="5" tint="0.79985961485641044"/>
        <bgColor indexed="65"/>
      </patternFill>
    </fill>
    <fill>
      <patternFill patternType="solid">
        <fgColor theme="4" tint="0.79985961485641044"/>
        <bgColor indexed="65"/>
      </patternFill>
    </fill>
    <fill>
      <patternFill patternType="solid">
        <fgColor theme="6" tint="0.79985961485641044"/>
        <bgColor indexed="65"/>
      </patternFill>
    </fill>
    <fill>
      <patternFill patternType="solid">
        <fgColor rgb="FF13233A"/>
      </patternFill>
    </fill>
    <fill>
      <patternFill patternType="solid">
        <fgColor rgb="FFE9EDF2"/>
      </patternFill>
    </fill>
    <fill>
      <patternFill patternType="solid">
        <fgColor rgb="FFFFFFFF"/>
      </patternFill>
    </fill>
    <fill>
      <patternFill patternType="solid">
        <fgColor theme="5" tint="-0.249977111117893"/>
        <bgColor indexed="65"/>
      </patternFill>
    </fill>
    <fill>
      <patternFill patternType="solid">
        <fgColor theme="6" tint="0.79989013336588644"/>
        <bgColor indexed="65"/>
      </patternFill>
    </fill>
    <fill>
      <patternFill patternType="solid">
        <fgColor rgb="FF1F2937"/>
      </patternFill>
    </fill>
    <fill>
      <patternFill patternType="solid">
        <fgColor rgb="FF0B2A4A"/>
      </patternFill>
    </fill>
    <fill>
      <patternFill patternType="solid">
        <fgColor rgb="FF0B2A4A"/>
      </patternFill>
    </fill>
    <fill>
      <patternFill patternType="solid">
        <fgColor rgb="FFE8EDF3"/>
      </patternFill>
    </fill>
    <fill>
      <patternFill patternType="solid">
        <fgColor rgb="FF10233F"/>
      </patternFill>
    </fill>
    <fill>
      <patternFill patternType="solid">
        <fgColor rgb="FFE7ECF2"/>
      </patternFill>
    </fill>
    <fill>
      <patternFill patternType="solid">
        <fgColor rgb="FF9E1B32"/>
      </patternFill>
    </fill>
    <fill>
      <patternFill patternType="solid">
        <fgColor rgb="FFC9A96E"/>
      </patternFill>
    </fill>
    <fill>
      <patternFill patternType="solid">
        <fgColor rgb="FFFFF4E5"/>
      </patternFill>
    </fill>
    <fill>
      <patternFill patternType="solid">
        <fgColor rgb="FF071827"/>
      </patternFill>
    </fill>
    <fill>
      <patternFill patternType="solid">
        <fgColor rgb="FFF2EFE8"/>
      </patternFill>
    </fill>
    <fill>
      <patternFill patternType="solid">
        <fgColor rgb="FFC59E49"/>
      </patternFill>
    </fill>
    <fill>
      <patternFill patternType="solid">
        <fgColor rgb="FFFFF9E8"/>
      </patternFill>
    </fill>
    <fill>
      <patternFill patternType="solid">
        <fgColor rgb="FFFFF9E8"/>
        <bgColor indexed="64"/>
      </patternFill>
    </fill>
  </fills>
  <borders count="17">
    <border>
      <left/>
      <right/>
      <top/>
      <bottom/>
      <diagonal/>
    </border>
    <border>
      <left style="thin">
        <color rgb="FF000000"/>
      </left>
      <right/>
      <top/>
      <bottom/>
      <diagonal/>
    </border>
    <border>
      <left/>
      <right style="thin">
        <color rgb="FF000000"/>
      </right>
      <top/>
      <bottom/>
      <diagonal/>
    </border>
    <border>
      <left/>
      <right/>
      <top/>
      <bottom/>
      <diagonal/>
    </border>
    <border>
      <left/>
      <right/>
      <top/>
      <bottom style="hair">
        <color rgb="FFD1D5DB"/>
      </bottom>
      <diagonal/>
    </border>
    <border>
      <left/>
      <right/>
      <top/>
      <bottom style="thin">
        <color rgb="FF464646"/>
      </bottom>
      <diagonal/>
    </border>
    <border>
      <left/>
      <right/>
      <top/>
      <bottom style="medium">
        <color rgb="FF464646"/>
      </bottom>
      <diagonal/>
    </border>
    <border>
      <left style="thin">
        <color indexed="64"/>
      </left>
      <right/>
      <top style="medium">
        <color rgb="FF464646"/>
      </top>
      <bottom/>
      <diagonal/>
    </border>
    <border>
      <left style="thin">
        <color indexed="64"/>
      </left>
      <right/>
      <top/>
      <bottom/>
      <diagonal/>
    </border>
    <border>
      <left style="thin">
        <color indexed="64"/>
      </left>
      <right/>
      <top/>
      <bottom style="thin">
        <color rgb="FF464646"/>
      </bottom>
      <diagonal/>
    </border>
    <border>
      <left style="thin">
        <color indexed="64"/>
      </left>
      <right/>
      <top/>
      <bottom style="medium">
        <color rgb="FF464646"/>
      </bottom>
      <diagonal/>
    </border>
    <border>
      <left/>
      <right/>
      <top/>
      <bottom style="hair">
        <color indexed="64"/>
      </bottom>
      <diagonal/>
    </border>
    <border>
      <left/>
      <right/>
      <top style="hair">
        <color indexed="64"/>
      </top>
      <bottom style="hair">
        <color indexed="64"/>
      </bottom>
      <diagonal/>
    </border>
    <border>
      <left/>
      <right/>
      <top/>
      <bottom style="medium">
        <color rgb="FF464646"/>
      </bottom>
      <diagonal/>
    </border>
    <border>
      <left/>
      <right/>
      <top/>
      <bottom/>
      <diagonal/>
    </border>
    <border>
      <left/>
      <right/>
      <top/>
      <bottom/>
      <diagonal/>
    </border>
    <border>
      <left/>
      <right/>
      <top/>
      <bottom/>
      <diagonal/>
    </border>
  </borders>
  <cellStyleXfs count="1">
    <xf numFmtId="0" fontId="0" fillId="0" borderId="0"/>
  </cellStyleXfs>
  <cellXfs count="212">
    <xf numFmtId="0" fontId="0" fillId="0" borderId="0" xfId="0"/>
    <xf numFmtId="0" fontId="1" fillId="0" borderId="0" xfId="0" applyFont="1" applyAlignment="1">
      <alignment horizontal="center" vertical="center"/>
    </xf>
    <xf numFmtId="0" fontId="0" fillId="3" borderId="0" xfId="0" applyFill="1"/>
    <xf numFmtId="165" fontId="0" fillId="3" borderId="0" xfId="0" applyNumberFormat="1" applyFill="1"/>
    <xf numFmtId="0" fontId="2" fillId="5" borderId="0" xfId="0" applyFont="1" applyFill="1" applyAlignment="1">
      <alignment horizontal="center" wrapText="1"/>
    </xf>
    <xf numFmtId="0" fontId="5" fillId="7" borderId="0" xfId="0" applyFont="1" applyFill="1" applyAlignment="1">
      <alignment vertical="center"/>
    </xf>
    <xf numFmtId="0" fontId="5" fillId="8" borderId="0" xfId="0" applyFont="1" applyFill="1" applyAlignment="1">
      <alignment vertical="center"/>
    </xf>
    <xf numFmtId="166" fontId="5" fillId="8" borderId="0" xfId="0" applyNumberFormat="1" applyFont="1" applyFill="1" applyAlignment="1">
      <alignment vertical="center"/>
    </xf>
    <xf numFmtId="0" fontId="5" fillId="3" borderId="0" xfId="0" applyFont="1" applyFill="1" applyAlignment="1">
      <alignment vertical="center"/>
    </xf>
    <xf numFmtId="166" fontId="5" fillId="3" borderId="0" xfId="0" applyNumberFormat="1" applyFont="1" applyFill="1" applyAlignment="1">
      <alignment vertical="center"/>
    </xf>
    <xf numFmtId="0" fontId="9" fillId="4" borderId="0" xfId="0" applyFont="1" applyFill="1" applyAlignment="1">
      <alignment vertical="center"/>
    </xf>
    <xf numFmtId="0" fontId="9" fillId="0" borderId="0" xfId="0" applyFont="1" applyAlignment="1">
      <alignment vertical="center"/>
    </xf>
    <xf numFmtId="0" fontId="7" fillId="10" borderId="0" xfId="0" applyFont="1" applyFill="1" applyAlignment="1">
      <alignment horizontal="center" vertical="center"/>
    </xf>
    <xf numFmtId="0" fontId="15" fillId="17" borderId="0" xfId="0" applyFont="1" applyFill="1" applyAlignment="1">
      <alignment horizontal="center" vertical="center"/>
    </xf>
    <xf numFmtId="0" fontId="16" fillId="17" borderId="0" xfId="0" applyFont="1" applyFill="1" applyAlignment="1">
      <alignment horizontal="center" vertical="center"/>
    </xf>
    <xf numFmtId="166" fontId="15" fillId="17" borderId="0" xfId="0" applyNumberFormat="1" applyFont="1" applyFill="1" applyAlignment="1">
      <alignment horizontal="center" vertical="center"/>
    </xf>
    <xf numFmtId="166" fontId="16" fillId="17" borderId="0" xfId="0" applyNumberFormat="1" applyFont="1" applyFill="1" applyAlignment="1">
      <alignment horizontal="center" vertical="center"/>
    </xf>
    <xf numFmtId="0" fontId="7" fillId="10" borderId="0" xfId="0" applyFont="1" applyFill="1" applyAlignment="1">
      <alignment horizontal="center" vertical="center" wrapText="1"/>
    </xf>
    <xf numFmtId="0" fontId="9" fillId="18" borderId="0" xfId="0" applyFont="1" applyFill="1" applyAlignment="1">
      <alignment vertical="center"/>
    </xf>
    <xf numFmtId="0" fontId="10" fillId="18" borderId="0" xfId="0" applyFont="1" applyFill="1" applyAlignment="1">
      <alignment vertical="center"/>
    </xf>
    <xf numFmtId="0" fontId="9" fillId="18" borderId="0" xfId="0" applyFont="1" applyFill="1" applyAlignment="1">
      <alignment horizontal="center" vertical="center"/>
    </xf>
    <xf numFmtId="0" fontId="8" fillId="18" borderId="0" xfId="0" applyFont="1" applyFill="1" applyAlignment="1">
      <alignment horizontal="center" vertical="center"/>
    </xf>
    <xf numFmtId="0" fontId="8" fillId="18" borderId="0" xfId="0" applyFont="1" applyFill="1" applyAlignment="1">
      <alignment vertical="center"/>
    </xf>
    <xf numFmtId="0" fontId="9" fillId="18" borderId="4" xfId="0" applyFont="1" applyFill="1" applyBorder="1" applyAlignment="1">
      <alignment vertical="center"/>
    </xf>
    <xf numFmtId="166" fontId="9" fillId="18" borderId="0" xfId="0" applyNumberFormat="1" applyFont="1" applyFill="1" applyAlignment="1">
      <alignment vertical="center"/>
    </xf>
    <xf numFmtId="166" fontId="9" fillId="18" borderId="4" xfId="0" applyNumberFormat="1" applyFont="1" applyFill="1" applyBorder="1" applyAlignment="1">
      <alignment vertical="center"/>
    </xf>
    <xf numFmtId="0" fontId="9" fillId="19" borderId="0" xfId="0" applyFont="1" applyFill="1" applyAlignment="1">
      <alignment vertical="center"/>
    </xf>
    <xf numFmtId="166" fontId="7" fillId="10" borderId="0" xfId="0" applyNumberFormat="1" applyFont="1" applyFill="1" applyAlignment="1">
      <alignment horizontal="center" vertical="center"/>
    </xf>
    <xf numFmtId="165" fontId="7" fillId="10" borderId="0" xfId="0" applyNumberFormat="1" applyFont="1" applyFill="1" applyAlignment="1">
      <alignment horizontal="center" vertical="center"/>
    </xf>
    <xf numFmtId="0" fontId="5" fillId="8" borderId="4" xfId="0" applyFont="1" applyFill="1" applyBorder="1" applyAlignment="1">
      <alignment vertical="center"/>
    </xf>
    <xf numFmtId="166" fontId="5" fillId="8" borderId="4" xfId="0" applyNumberFormat="1" applyFont="1" applyFill="1" applyBorder="1" applyAlignment="1">
      <alignment vertical="center"/>
    </xf>
    <xf numFmtId="166" fontId="8" fillId="18" borderId="0" xfId="0" applyNumberFormat="1" applyFont="1" applyFill="1" applyAlignment="1">
      <alignment horizontal="center" vertical="center"/>
    </xf>
    <xf numFmtId="0" fontId="9" fillId="18" borderId="0" xfId="0" applyFont="1" applyFill="1" applyAlignment="1">
      <alignment vertical="center" wrapText="1"/>
    </xf>
    <xf numFmtId="166" fontId="9" fillId="18" borderId="0" xfId="0" applyNumberFormat="1" applyFont="1" applyFill="1" applyAlignment="1">
      <alignment horizontal="center" vertical="center"/>
    </xf>
    <xf numFmtId="165" fontId="9" fillId="18" borderId="0" xfId="0" applyNumberFormat="1" applyFont="1" applyFill="1" applyAlignment="1">
      <alignment vertical="center"/>
    </xf>
    <xf numFmtId="165" fontId="9" fillId="18" borderId="4" xfId="0" applyNumberFormat="1" applyFont="1" applyFill="1" applyBorder="1" applyAlignment="1">
      <alignment vertical="center"/>
    </xf>
    <xf numFmtId="0" fontId="9" fillId="20" borderId="0" xfId="0" applyFont="1" applyFill="1" applyAlignment="1">
      <alignment vertical="center"/>
    </xf>
    <xf numFmtId="0" fontId="9" fillId="20" borderId="4" xfId="0" applyFont="1" applyFill="1" applyBorder="1" applyAlignment="1">
      <alignment vertical="center"/>
    </xf>
    <xf numFmtId="0" fontId="20" fillId="18" borderId="0" xfId="0" applyFont="1" applyFill="1" applyAlignment="1">
      <alignment vertical="center"/>
    </xf>
    <xf numFmtId="0" fontId="20" fillId="18" borderId="0" xfId="0" applyFont="1" applyFill="1" applyAlignment="1">
      <alignment horizontal="center" vertical="center"/>
    </xf>
    <xf numFmtId="0" fontId="21" fillId="18" borderId="0" xfId="0" applyFont="1" applyFill="1" applyAlignment="1">
      <alignment horizontal="center" vertical="center"/>
    </xf>
    <xf numFmtId="0" fontId="21" fillId="18" borderId="5" xfId="0" applyFont="1" applyFill="1" applyBorder="1" applyAlignment="1">
      <alignment horizontal="center" vertical="center"/>
    </xf>
    <xf numFmtId="0" fontId="8" fillId="18" borderId="5" xfId="0" applyFont="1" applyFill="1" applyBorder="1" applyAlignment="1">
      <alignment horizontal="center" vertical="center"/>
    </xf>
    <xf numFmtId="166" fontId="20" fillId="18" borderId="0" xfId="0" applyNumberFormat="1" applyFont="1" applyFill="1" applyAlignment="1">
      <alignment horizontal="center" vertical="center"/>
    </xf>
    <xf numFmtId="0" fontId="20" fillId="18" borderId="5" xfId="0" applyFont="1" applyFill="1" applyBorder="1" applyAlignment="1">
      <alignment horizontal="center" vertical="center"/>
    </xf>
    <xf numFmtId="166" fontId="20" fillId="18" borderId="5" xfId="0" applyNumberFormat="1" applyFont="1" applyFill="1" applyBorder="1" applyAlignment="1">
      <alignment horizontal="center" vertical="center"/>
    </xf>
    <xf numFmtId="166" fontId="20" fillId="18" borderId="0" xfId="0" applyNumberFormat="1" applyFont="1" applyFill="1" applyAlignment="1">
      <alignment vertical="center" wrapText="1"/>
    </xf>
    <xf numFmtId="0" fontId="0" fillId="0" borderId="5" xfId="0" applyBorder="1"/>
    <xf numFmtId="0" fontId="8" fillId="18" borderId="6" xfId="0" applyFont="1" applyFill="1" applyBorder="1" applyAlignment="1">
      <alignment horizontal="center" vertical="center"/>
    </xf>
    <xf numFmtId="0" fontId="21" fillId="18" borderId="6" xfId="0" applyFont="1" applyFill="1" applyBorder="1" applyAlignment="1">
      <alignment horizontal="center" vertical="center"/>
    </xf>
    <xf numFmtId="0" fontId="20" fillId="18" borderId="6" xfId="0" applyFont="1" applyFill="1" applyBorder="1" applyAlignment="1">
      <alignment vertical="center"/>
    </xf>
    <xf numFmtId="166" fontId="20" fillId="18" borderId="6" xfId="0" applyNumberFormat="1" applyFont="1" applyFill="1" applyBorder="1" applyAlignment="1">
      <alignment vertical="center" wrapText="1"/>
    </xf>
    <xf numFmtId="166" fontId="20" fillId="18" borderId="6" xfId="0" applyNumberFormat="1" applyFont="1" applyFill="1" applyBorder="1" applyAlignment="1">
      <alignment horizontal="center" vertical="center"/>
    </xf>
    <xf numFmtId="0" fontId="20" fillId="18" borderId="0" xfId="0" applyFont="1" applyFill="1" applyAlignment="1">
      <alignment horizontal="center" vertical="center" wrapText="1"/>
    </xf>
    <xf numFmtId="0" fontId="20" fillId="18" borderId="6" xfId="0" applyFont="1" applyFill="1" applyBorder="1" applyAlignment="1">
      <alignment horizontal="center" vertical="center" wrapText="1"/>
    </xf>
    <xf numFmtId="0" fontId="20" fillId="25" borderId="0" xfId="0" applyFont="1" applyFill="1" applyAlignment="1">
      <alignment horizontal="center" vertical="center" wrapText="1"/>
    </xf>
    <xf numFmtId="0" fontId="20" fillId="26" borderId="0" xfId="0" applyFont="1" applyFill="1" applyAlignment="1">
      <alignment horizontal="center" vertical="center" wrapText="1"/>
    </xf>
    <xf numFmtId="0" fontId="20" fillId="25" borderId="5" xfId="0" applyFont="1" applyFill="1" applyBorder="1" applyAlignment="1">
      <alignment horizontal="center" vertical="center" wrapText="1"/>
    </xf>
    <xf numFmtId="0" fontId="20" fillId="26" borderId="5" xfId="0" applyFont="1" applyFill="1" applyBorder="1" applyAlignment="1">
      <alignment horizontal="center" vertical="center" wrapText="1"/>
    </xf>
    <xf numFmtId="0" fontId="0" fillId="0" borderId="0" xfId="0" applyAlignment="1">
      <alignment horizontal="center"/>
    </xf>
    <xf numFmtId="0" fontId="0" fillId="0" borderId="5" xfId="0" applyBorder="1" applyAlignment="1">
      <alignment horizontal="center"/>
    </xf>
    <xf numFmtId="0" fontId="20" fillId="25" borderId="6" xfId="0" applyFont="1" applyFill="1" applyBorder="1" applyAlignment="1">
      <alignment horizontal="center" vertical="center" wrapText="1"/>
    </xf>
    <xf numFmtId="0" fontId="0" fillId="0" borderId="6" xfId="0" applyBorder="1" applyAlignment="1">
      <alignment horizontal="center"/>
    </xf>
    <xf numFmtId="0" fontId="20" fillId="26" borderId="6" xfId="0" applyFont="1" applyFill="1" applyBorder="1" applyAlignment="1">
      <alignment horizontal="center" vertical="center" wrapText="1"/>
    </xf>
    <xf numFmtId="0" fontId="10" fillId="18" borderId="0" xfId="0" applyFont="1" applyFill="1" applyAlignment="1">
      <alignment horizontal="center" vertical="center"/>
    </xf>
    <xf numFmtId="0" fontId="9" fillId="18" borderId="5" xfId="0" applyFont="1" applyFill="1" applyBorder="1" applyAlignment="1">
      <alignment horizontal="center" vertical="center"/>
    </xf>
    <xf numFmtId="0" fontId="19" fillId="27" borderId="6" xfId="0" applyFont="1" applyFill="1" applyBorder="1" applyAlignment="1">
      <alignment horizontal="center" vertical="center"/>
    </xf>
    <xf numFmtId="0" fontId="23" fillId="23" borderId="6" xfId="0" applyFont="1" applyFill="1" applyBorder="1" applyAlignment="1">
      <alignment horizontal="center" vertical="center" wrapText="1"/>
    </xf>
    <xf numFmtId="0" fontId="23" fillId="24" borderId="6" xfId="0" applyFont="1" applyFill="1" applyBorder="1" applyAlignment="1">
      <alignment horizontal="center" vertical="center" wrapText="1"/>
    </xf>
    <xf numFmtId="166" fontId="19" fillId="27" borderId="6" xfId="0" applyNumberFormat="1" applyFont="1" applyFill="1" applyBorder="1" applyAlignment="1">
      <alignment horizontal="center" vertical="center"/>
    </xf>
    <xf numFmtId="0" fontId="25" fillId="21" borderId="0" xfId="0" applyFont="1" applyFill="1" applyAlignment="1">
      <alignment horizontal="center" vertical="center" wrapText="1"/>
    </xf>
    <xf numFmtId="0" fontId="26" fillId="21" borderId="0" xfId="0" applyFont="1" applyFill="1" applyAlignment="1">
      <alignment horizontal="center" vertical="center" wrapText="1"/>
    </xf>
    <xf numFmtId="166" fontId="25" fillId="21" borderId="0" xfId="0" applyNumberFormat="1" applyFont="1" applyFill="1" applyAlignment="1">
      <alignment horizontal="center" vertical="center" wrapText="1"/>
    </xf>
    <xf numFmtId="0" fontId="24" fillId="0" borderId="7" xfId="0" applyFont="1" applyBorder="1" applyAlignment="1">
      <alignment horizontal="center" vertical="center"/>
    </xf>
    <xf numFmtId="0" fontId="24" fillId="0" borderId="8" xfId="0" applyFont="1" applyBorder="1" applyAlignment="1">
      <alignment horizontal="center" vertical="center"/>
    </xf>
    <xf numFmtId="0" fontId="24" fillId="0" borderId="9" xfId="0" applyFont="1" applyBorder="1" applyAlignment="1">
      <alignment horizontal="center" vertical="center"/>
    </xf>
    <xf numFmtId="0" fontId="24" fillId="0" borderId="10" xfId="0" applyFont="1" applyBorder="1" applyAlignment="1">
      <alignment horizontal="center" vertical="center"/>
    </xf>
    <xf numFmtId="0" fontId="19" fillId="27" borderId="10" xfId="0" applyFont="1" applyFill="1" applyBorder="1" applyAlignment="1">
      <alignment horizontal="center" vertical="center"/>
    </xf>
    <xf numFmtId="0" fontId="25" fillId="21" borderId="8" xfId="0" applyFont="1" applyFill="1" applyBorder="1" applyAlignment="1">
      <alignment horizontal="center" vertical="center" wrapText="1"/>
    </xf>
    <xf numFmtId="0" fontId="22" fillId="0" borderId="8" xfId="0" applyFont="1" applyBorder="1" applyAlignment="1">
      <alignment horizontal="center"/>
    </xf>
    <xf numFmtId="0" fontId="24" fillId="18" borderId="0" xfId="0" applyFont="1" applyFill="1" applyAlignment="1">
      <alignment vertical="center"/>
    </xf>
    <xf numFmtId="0" fontId="8" fillId="18" borderId="11" xfId="0" applyFont="1" applyFill="1" applyBorder="1" applyAlignment="1">
      <alignment vertical="center"/>
    </xf>
    <xf numFmtId="166" fontId="8" fillId="18" borderId="11" xfId="0" applyNumberFormat="1" applyFont="1" applyFill="1" applyBorder="1" applyAlignment="1">
      <alignment vertical="center"/>
    </xf>
    <xf numFmtId="0" fontId="8" fillId="18" borderId="11" xfId="0" applyFont="1" applyFill="1" applyBorder="1" applyAlignment="1">
      <alignment horizontal="center" vertical="center"/>
    </xf>
    <xf numFmtId="0" fontId="21" fillId="18" borderId="11" xfId="0" applyFont="1" applyFill="1" applyBorder="1" applyAlignment="1">
      <alignment horizontal="center" vertical="center"/>
    </xf>
    <xf numFmtId="0" fontId="24" fillId="0" borderId="3" xfId="0" applyFont="1" applyBorder="1" applyAlignment="1">
      <alignment horizontal="center" vertical="center"/>
    </xf>
    <xf numFmtId="0" fontId="24" fillId="0" borderId="11" xfId="0" applyFont="1" applyBorder="1" applyAlignment="1">
      <alignment horizontal="center" vertical="center"/>
    </xf>
    <xf numFmtId="0" fontId="24" fillId="0" borderId="12" xfId="0" applyFont="1" applyBorder="1" applyAlignment="1">
      <alignment horizontal="center" vertical="center"/>
    </xf>
    <xf numFmtId="0" fontId="7" fillId="10" borderId="6" xfId="0" applyFont="1" applyFill="1" applyBorder="1" applyAlignment="1">
      <alignment horizontal="left" vertical="center"/>
    </xf>
    <xf numFmtId="0" fontId="7" fillId="10" borderId="6" xfId="0" applyFont="1" applyFill="1" applyBorder="1" applyAlignment="1">
      <alignment horizontal="center" vertical="center"/>
    </xf>
    <xf numFmtId="0" fontId="7" fillId="10" borderId="6" xfId="0" applyFont="1" applyFill="1" applyBorder="1" applyAlignment="1">
      <alignment horizontal="center" vertical="center" wrapText="1"/>
    </xf>
    <xf numFmtId="0" fontId="7" fillId="11" borderId="6" xfId="0" applyFont="1" applyFill="1" applyBorder="1" applyAlignment="1">
      <alignment horizontal="center" vertical="center"/>
    </xf>
    <xf numFmtId="166" fontId="24" fillId="18" borderId="0" xfId="0" applyNumberFormat="1" applyFont="1" applyFill="1" applyAlignment="1">
      <alignment vertical="center"/>
    </xf>
    <xf numFmtId="0" fontId="8" fillId="2" borderId="0" xfId="0" applyFont="1" applyFill="1" applyAlignment="1">
      <alignment horizontal="center" vertical="center"/>
    </xf>
    <xf numFmtId="0" fontId="8" fillId="0" borderId="0" xfId="0" applyFont="1" applyAlignment="1">
      <alignment horizontal="left" vertical="center"/>
    </xf>
    <xf numFmtId="0" fontId="8" fillId="0" borderId="0" xfId="0" applyFont="1" applyAlignment="1">
      <alignment vertical="center"/>
    </xf>
    <xf numFmtId="0" fontId="9" fillId="3" borderId="0" xfId="0" applyFont="1" applyFill="1" applyAlignment="1">
      <alignment vertical="center"/>
    </xf>
    <xf numFmtId="0" fontId="8" fillId="3" borderId="0" xfId="0" applyFont="1" applyFill="1" applyAlignment="1">
      <alignment horizontal="left" vertical="center"/>
    </xf>
    <xf numFmtId="0" fontId="30" fillId="29" borderId="1" xfId="0" applyFont="1" applyFill="1" applyBorder="1" applyAlignment="1">
      <alignment vertical="center"/>
    </xf>
    <xf numFmtId="0" fontId="30" fillId="29" borderId="0" xfId="0" applyFont="1" applyFill="1" applyAlignment="1">
      <alignment vertical="center"/>
    </xf>
    <xf numFmtId="0" fontId="30" fillId="29" borderId="2" xfId="0" applyFont="1" applyFill="1" applyBorder="1" applyAlignment="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left" vertical="center" wrapText="1"/>
    </xf>
    <xf numFmtId="0" fontId="33" fillId="30" borderId="0" xfId="0" applyFont="1" applyFill="1" applyAlignment="1">
      <alignment horizontal="center" vertical="center"/>
    </xf>
    <xf numFmtId="0" fontId="33" fillId="30" borderId="0" xfId="0" applyFont="1" applyFill="1" applyAlignment="1">
      <alignment vertical="center"/>
    </xf>
    <xf numFmtId="0" fontId="33" fillId="3" borderId="15" xfId="0" applyFont="1" applyFill="1" applyBorder="1" applyAlignment="1">
      <alignment horizontal="center" vertical="center"/>
    </xf>
    <xf numFmtId="166" fontId="33" fillId="3" borderId="15" xfId="0" applyNumberFormat="1" applyFont="1" applyFill="1" applyBorder="1" applyAlignment="1">
      <alignment horizontal="center" vertical="center"/>
    </xf>
    <xf numFmtId="0" fontId="33" fillId="0" borderId="14" xfId="0" applyFont="1" applyBorder="1" applyAlignment="1">
      <alignment horizontal="left" vertical="center"/>
    </xf>
    <xf numFmtId="0" fontId="33" fillId="0" borderId="14" xfId="0" applyFont="1" applyBorder="1" applyAlignment="1">
      <alignment horizontal="center" vertical="center"/>
    </xf>
    <xf numFmtId="0" fontId="33" fillId="0" borderId="15" xfId="0" applyFont="1" applyBorder="1" applyAlignment="1">
      <alignment horizontal="left" vertical="center"/>
    </xf>
    <xf numFmtId="0" fontId="33" fillId="0" borderId="15" xfId="0" applyFont="1" applyBorder="1" applyAlignment="1">
      <alignment horizontal="center" vertical="center"/>
    </xf>
    <xf numFmtId="165" fontId="33" fillId="0" borderId="15" xfId="0" applyNumberFormat="1" applyFont="1" applyBorder="1" applyAlignment="1">
      <alignment horizontal="center" vertical="center"/>
    </xf>
    <xf numFmtId="0" fontId="33" fillId="3" borderId="0" xfId="0" applyFont="1" applyFill="1" applyAlignment="1">
      <alignment horizontal="center" vertical="center" wrapText="1"/>
    </xf>
    <xf numFmtId="0" fontId="33" fillId="3" borderId="0" xfId="0" applyFont="1" applyFill="1" applyAlignment="1">
      <alignment horizontal="left" vertical="center" wrapText="1"/>
    </xf>
    <xf numFmtId="0" fontId="33" fillId="0" borderId="0" xfId="0" applyFont="1" applyAlignment="1">
      <alignment horizontal="center" vertical="center"/>
    </xf>
    <xf numFmtId="0" fontId="33" fillId="0" borderId="0" xfId="0" applyFont="1" applyAlignment="1">
      <alignment horizontal="left" vertical="center" wrapText="1"/>
    </xf>
    <xf numFmtId="0" fontId="33" fillId="0" borderId="0" xfId="0" applyFont="1" applyAlignment="1">
      <alignment horizontal="left" vertical="center"/>
    </xf>
    <xf numFmtId="0" fontId="33" fillId="0" borderId="14" xfId="0" applyFont="1" applyBorder="1" applyAlignment="1">
      <alignment horizontal="left" vertical="center" wrapText="1"/>
    </xf>
    <xf numFmtId="0" fontId="29" fillId="29" borderId="0" xfId="0" applyFont="1" applyFill="1" applyAlignment="1">
      <alignment vertical="center"/>
    </xf>
    <xf numFmtId="164" fontId="33" fillId="30" borderId="0" xfId="0" applyNumberFormat="1" applyFont="1" applyFill="1" applyAlignment="1">
      <alignment vertical="center"/>
    </xf>
    <xf numFmtId="0" fontId="31" fillId="28" borderId="1" xfId="0" applyFont="1" applyFill="1" applyBorder="1" applyAlignment="1">
      <alignment vertical="center"/>
    </xf>
    <xf numFmtId="0" fontId="31" fillId="28" borderId="0" xfId="0" applyFont="1" applyFill="1" applyAlignment="1">
      <alignment vertical="center"/>
    </xf>
    <xf numFmtId="0" fontId="31" fillId="28" borderId="2" xfId="0" applyFont="1" applyFill="1" applyBorder="1" applyAlignment="1">
      <alignment vertical="center"/>
    </xf>
    <xf numFmtId="0" fontId="33" fillId="31" borderId="0" xfId="0" applyFont="1" applyFill="1" applyAlignment="1">
      <alignment horizontal="center" vertical="center" wrapText="1"/>
    </xf>
    <xf numFmtId="0" fontId="33" fillId="31" borderId="0" xfId="0" applyFont="1" applyFill="1" applyAlignment="1">
      <alignment horizontal="left" vertical="center" wrapText="1"/>
    </xf>
    <xf numFmtId="0" fontId="33" fillId="31" borderId="0" xfId="0" applyFont="1" applyFill="1" applyAlignment="1">
      <alignment horizontal="center" vertical="center"/>
    </xf>
    <xf numFmtId="0" fontId="33" fillId="31" borderId="0" xfId="0" applyFont="1" applyFill="1" applyAlignment="1">
      <alignment horizontal="left" vertical="center"/>
    </xf>
    <xf numFmtId="0" fontId="32" fillId="32" borderId="13" xfId="0" applyFont="1" applyFill="1" applyBorder="1" applyAlignment="1">
      <alignment horizontal="center" wrapText="1"/>
    </xf>
    <xf numFmtId="1" fontId="33" fillId="31" borderId="15" xfId="0" applyNumberFormat="1" applyFont="1" applyFill="1" applyBorder="1" applyAlignment="1">
      <alignment horizontal="center" vertical="center" wrapText="1"/>
    </xf>
    <xf numFmtId="1" fontId="33" fillId="3" borderId="15" xfId="0" applyNumberFormat="1" applyFont="1" applyFill="1" applyBorder="1" applyAlignment="1">
      <alignment horizontal="center" vertical="center" wrapText="1"/>
    </xf>
    <xf numFmtId="1" fontId="33" fillId="31" borderId="15" xfId="0" applyNumberFormat="1" applyFont="1" applyFill="1" applyBorder="1" applyAlignment="1">
      <alignment horizontal="center" vertical="center"/>
    </xf>
    <xf numFmtId="1" fontId="33" fillId="0" borderId="15" xfId="0" applyNumberFormat="1" applyFont="1" applyBorder="1" applyAlignment="1">
      <alignment horizontal="center" vertical="center"/>
    </xf>
    <xf numFmtId="0" fontId="31" fillId="28" borderId="15" xfId="0" applyFont="1" applyFill="1" applyBorder="1" applyAlignment="1">
      <alignment vertical="center"/>
    </xf>
    <xf numFmtId="165" fontId="32" fillId="32" borderId="13" xfId="0" applyNumberFormat="1" applyFont="1" applyFill="1" applyBorder="1" applyAlignment="1">
      <alignment horizontal="center" wrapText="1"/>
    </xf>
    <xf numFmtId="0" fontId="33" fillId="3" borderId="15" xfId="0" applyFont="1" applyFill="1" applyBorder="1" applyAlignment="1">
      <alignment horizontal="left" vertical="center"/>
    </xf>
    <xf numFmtId="165" fontId="33" fillId="3" borderId="15" xfId="0" applyNumberFormat="1" applyFont="1" applyFill="1" applyBorder="1" applyAlignment="1">
      <alignment horizontal="center" vertical="center"/>
    </xf>
    <xf numFmtId="0" fontId="28" fillId="28" borderId="0" xfId="0" applyFont="1" applyFill="1" applyAlignment="1">
      <alignment horizontal="centerContinuous" vertical="center"/>
    </xf>
    <xf numFmtId="0" fontId="29" fillId="0" borderId="0" xfId="0" applyFont="1" applyAlignment="1">
      <alignment horizontal="centerContinuous" vertical="center"/>
    </xf>
    <xf numFmtId="1" fontId="9" fillId="0" borderId="0" xfId="0" applyNumberFormat="1" applyFont="1" applyAlignment="1">
      <alignment horizontal="center" vertical="center"/>
    </xf>
    <xf numFmtId="0" fontId="0" fillId="0" borderId="0" xfId="0" applyAlignment="1">
      <alignment horizontal="centerContinuous"/>
    </xf>
    <xf numFmtId="0" fontId="9" fillId="31" borderId="0" xfId="0" applyFont="1" applyFill="1" applyAlignment="1">
      <alignment horizontal="left" vertical="center" wrapText="1"/>
    </xf>
    <xf numFmtId="0" fontId="9" fillId="31" borderId="0" xfId="0" applyFont="1" applyFill="1" applyAlignment="1">
      <alignment horizontal="left" vertical="center"/>
    </xf>
    <xf numFmtId="0" fontId="9" fillId="31" borderId="0" xfId="0" applyFont="1" applyFill="1" applyAlignment="1">
      <alignment horizontal="center" vertical="center" wrapText="1"/>
    </xf>
    <xf numFmtId="0" fontId="9" fillId="31" borderId="0" xfId="0" applyFont="1" applyFill="1" applyAlignment="1">
      <alignment horizontal="center" vertical="center"/>
    </xf>
    <xf numFmtId="0" fontId="2" fillId="33" borderId="0" xfId="0" applyFont="1" applyFill="1" applyAlignment="1">
      <alignment horizontal="center" vertical="center" wrapText="1"/>
    </xf>
    <xf numFmtId="0" fontId="0" fillId="0" borderId="0" xfId="0" applyAlignment="1">
      <alignment wrapText="1"/>
    </xf>
    <xf numFmtId="1" fontId="0" fillId="0" borderId="0" xfId="0" applyNumberFormat="1" applyAlignment="1">
      <alignment wrapText="1"/>
    </xf>
    <xf numFmtId="0" fontId="0" fillId="0" borderId="0" xfId="0" applyAlignment="1">
      <alignment vertical="top" wrapText="1"/>
    </xf>
    <xf numFmtId="0" fontId="0" fillId="0" borderId="16" xfId="0" applyBorder="1" applyAlignment="1">
      <alignment vertical="top" wrapText="1"/>
    </xf>
    <xf numFmtId="1" fontId="0" fillId="0" borderId="0" xfId="0" applyNumberFormat="1" applyAlignment="1">
      <alignment vertical="top" wrapText="1"/>
    </xf>
    <xf numFmtId="1" fontId="0" fillId="0" borderId="16" xfId="0" applyNumberFormat="1" applyBorder="1" applyAlignment="1">
      <alignment vertical="top" wrapText="1"/>
    </xf>
    <xf numFmtId="165" fontId="0" fillId="0" borderId="0" xfId="0" applyNumberFormat="1" applyAlignment="1">
      <alignment vertical="top" wrapText="1"/>
    </xf>
    <xf numFmtId="165" fontId="0" fillId="0" borderId="16" xfId="0" applyNumberFormat="1" applyBorder="1" applyAlignment="1">
      <alignment vertical="top" wrapText="1"/>
    </xf>
    <xf numFmtId="0" fontId="2" fillId="34" borderId="0" xfId="0" applyFont="1" applyFill="1" applyAlignment="1">
      <alignment horizontal="center" vertical="center" wrapText="1"/>
    </xf>
    <xf numFmtId="167" fontId="0" fillId="0" borderId="0" xfId="0" applyNumberFormat="1" applyAlignment="1">
      <alignment wrapText="1"/>
    </xf>
    <xf numFmtId="166" fontId="0" fillId="0" borderId="0" xfId="0" applyNumberFormat="1" applyAlignment="1">
      <alignment wrapText="1"/>
    </xf>
    <xf numFmtId="0" fontId="0" fillId="0" borderId="0" xfId="0" applyAlignment="1">
      <alignment wrapText="1"/>
      <extLst>
        <ext xmlns:xfpb="http://schemas.microsoft.com/office/spreadsheetml/2022/featurepropertybag" uri="{C7286773-470A-42A8-94C5-96B5CB345126}">
          <xfpb:xfComplement i="0"/>
        </ext>
      </extLst>
    </xf>
    <xf numFmtId="0" fontId="2" fillId="35" borderId="0" xfId="0" applyFont="1" applyFill="1" applyAlignment="1">
      <alignment horizontal="center" vertical="center" wrapText="1"/>
    </xf>
    <xf numFmtId="165" fontId="0" fillId="0" borderId="0" xfId="0" applyNumberFormat="1" applyAlignment="1">
      <alignment wrapText="1"/>
    </xf>
    <xf numFmtId="0" fontId="34" fillId="0" borderId="0" xfId="0" applyFont="1"/>
    <xf numFmtId="0" fontId="35" fillId="36" borderId="0" xfId="0" applyFont="1" applyFill="1"/>
    <xf numFmtId="0" fontId="2" fillId="37" borderId="0" xfId="0" applyFont="1" applyFill="1" applyAlignment="1">
      <alignment horizontal="center"/>
    </xf>
    <xf numFmtId="0" fontId="2" fillId="39" borderId="0" xfId="0" applyFont="1" applyFill="1" applyAlignment="1">
      <alignment horizontal="center"/>
    </xf>
    <xf numFmtId="0" fontId="2" fillId="37" borderId="0" xfId="0" applyFont="1" applyFill="1" applyAlignment="1">
      <alignment wrapText="1"/>
    </xf>
    <xf numFmtId="0" fontId="2" fillId="37" borderId="0" xfId="0" applyFont="1" applyFill="1" applyAlignment="1">
      <alignment horizontal="center" vertical="center" wrapText="1"/>
    </xf>
    <xf numFmtId="0" fontId="2" fillId="39" borderId="0" xfId="0" applyFont="1" applyFill="1" applyAlignment="1">
      <alignment horizontal="center" wrapText="1"/>
    </xf>
    <xf numFmtId="0" fontId="39" fillId="41" borderId="0" xfId="0" applyFont="1" applyFill="1"/>
    <xf numFmtId="0" fontId="39" fillId="41" borderId="0" xfId="0" applyFont="1" applyFill="1">
      <extLst>
        <ext xmlns:xfpb="http://schemas.microsoft.com/office/spreadsheetml/2022/featurepropertybag" uri="{C7286773-470A-42A8-94C5-96B5CB345126}">
          <xfpb:xfComplement i="0"/>
        </ext>
      </extLst>
    </xf>
    <xf numFmtId="0" fontId="38" fillId="40" borderId="0" xfId="0" applyFont="1" applyFill="1" applyAlignment="1">
      <alignment wrapText="1"/>
    </xf>
    <xf numFmtId="0" fontId="38" fillId="40" borderId="0" xfId="0" applyFont="1" applyFill="1" applyAlignment="1">
      <alignment horizontal="center" wrapText="1"/>
    </xf>
    <xf numFmtId="0" fontId="40" fillId="0" borderId="0" xfId="0" applyFont="1" applyAlignment="1">
      <alignment wrapText="1"/>
    </xf>
    <xf numFmtId="0" fontId="43" fillId="44" borderId="0" xfId="0" applyFont="1" applyFill="1" applyAlignment="1">
      <alignment horizontal="center" vertical="center" wrapText="1"/>
    </xf>
    <xf numFmtId="0" fontId="44" fillId="0" borderId="0" xfId="0" applyFont="1" applyAlignment="1">
      <alignment vertical="top" wrapText="1"/>
    </xf>
    <xf numFmtId="1" fontId="45" fillId="0" borderId="0" xfId="0" applyNumberFormat="1" applyFont="1" applyAlignment="1">
      <alignment vertical="top" wrapText="1"/>
    </xf>
    <xf numFmtId="0" fontId="45" fillId="0" borderId="0" xfId="0" applyFont="1" applyAlignment="1">
      <alignment vertical="top" wrapText="1"/>
    </xf>
    <xf numFmtId="166" fontId="45" fillId="0" borderId="0" xfId="0" applyNumberFormat="1" applyFont="1" applyAlignment="1">
      <alignment vertical="top" wrapText="1"/>
    </xf>
    <xf numFmtId="0" fontId="45" fillId="45" borderId="0" xfId="0" applyFont="1" applyFill="1" applyAlignment="1">
      <alignment vertical="top" wrapText="1"/>
    </xf>
    <xf numFmtId="1" fontId="45" fillId="45" borderId="0" xfId="0" applyNumberFormat="1" applyFont="1" applyFill="1" applyAlignment="1">
      <alignment vertical="top" wrapText="1"/>
    </xf>
    <xf numFmtId="0" fontId="45" fillId="45" borderId="0" xfId="0" applyFont="1" applyFill="1" applyAlignment="1">
      <alignment vertical="top" wrapText="1"/>
      <extLst>
        <ext xmlns:xfpb="http://schemas.microsoft.com/office/spreadsheetml/2022/featurepropertybag" uri="{C7286773-470A-42A8-94C5-96B5CB345126}">
          <xfpb:xfComplement i="0"/>
        </ext>
      </extLst>
    </xf>
    <xf numFmtId="1" fontId="45" fillId="46" borderId="0" xfId="0" applyNumberFormat="1" applyFont="1" applyFill="1" applyAlignment="1">
      <alignment vertical="top" wrapText="1"/>
    </xf>
    <xf numFmtId="0" fontId="46" fillId="34" borderId="0" xfId="0" applyFont="1" applyFill="1" applyAlignment="1">
      <alignment vertical="center" wrapText="1"/>
    </xf>
    <xf numFmtId="0" fontId="5" fillId="0" borderId="0" xfId="0" applyFont="1" applyAlignment="1">
      <alignment vertical="center" wrapText="1"/>
    </xf>
    <xf numFmtId="0" fontId="47" fillId="0" borderId="0" xfId="0" applyFont="1" applyAlignment="1">
      <alignment vertical="center" wrapText="1"/>
    </xf>
    <xf numFmtId="14" fontId="5" fillId="0" borderId="0" xfId="0" applyNumberFormat="1" applyFont="1" applyAlignment="1">
      <alignment vertical="center" wrapText="1"/>
    </xf>
    <xf numFmtId="0" fontId="47" fillId="8" borderId="0" xfId="0" applyFont="1" applyFill="1" applyAlignment="1">
      <alignment vertical="center"/>
    </xf>
    <xf numFmtId="0" fontId="47" fillId="3" borderId="0" xfId="0" applyFont="1" applyFill="1" applyAlignment="1">
      <alignment vertical="center"/>
    </xf>
    <xf numFmtId="0" fontId="17" fillId="9" borderId="0" xfId="0" applyFont="1" applyFill="1" applyAlignment="1">
      <alignment horizontal="left" vertical="center" wrapText="1"/>
    </xf>
    <xf numFmtId="0" fontId="17" fillId="22" borderId="0" xfId="0" applyFont="1" applyFill="1" applyAlignment="1">
      <alignment horizontal="left" vertical="center"/>
    </xf>
    <xf numFmtId="0" fontId="18" fillId="22" borderId="0" xfId="0" applyFont="1" applyFill="1" applyAlignment="1">
      <alignment horizontal="left" vertical="center"/>
    </xf>
    <xf numFmtId="166" fontId="17" fillId="22" borderId="0" xfId="0" applyNumberFormat="1" applyFont="1" applyFill="1" applyAlignment="1">
      <alignment horizontal="left" vertical="center"/>
    </xf>
    <xf numFmtId="0" fontId="17" fillId="9" borderId="0" xfId="0" applyFont="1" applyFill="1" applyAlignment="1">
      <alignment vertical="center"/>
    </xf>
    <xf numFmtId="166" fontId="17" fillId="9" borderId="0" xfId="0" applyNumberFormat="1" applyFont="1" applyFill="1" applyAlignment="1">
      <alignment vertical="center"/>
    </xf>
    <xf numFmtId="165" fontId="17" fillId="9" borderId="0" xfId="0" applyNumberFormat="1" applyFont="1" applyFill="1" applyAlignment="1">
      <alignment vertical="center"/>
    </xf>
    <xf numFmtId="0" fontId="9" fillId="15" borderId="0" xfId="0" applyFont="1" applyFill="1" applyAlignment="1">
      <alignment vertical="top" wrapText="1"/>
    </xf>
    <xf numFmtId="0" fontId="11" fillId="9" borderId="0" xfId="0" applyFont="1" applyFill="1" applyAlignment="1">
      <alignment horizontal="center" vertical="center"/>
    </xf>
    <xf numFmtId="0" fontId="12" fillId="10" borderId="0" xfId="0" applyFont="1" applyFill="1" applyAlignment="1">
      <alignment horizontal="center" vertical="center"/>
    </xf>
    <xf numFmtId="0" fontId="12" fillId="11" borderId="0" xfId="0" applyFont="1" applyFill="1" applyAlignment="1">
      <alignment horizontal="center" vertical="center"/>
    </xf>
    <xf numFmtId="0" fontId="6" fillId="12" borderId="0" xfId="0" applyFont="1" applyFill="1" applyAlignment="1">
      <alignment horizontal="center" vertical="center"/>
    </xf>
    <xf numFmtId="0" fontId="13" fillId="13" borderId="0" xfId="0" applyFont="1" applyFill="1" applyAlignment="1">
      <alignment horizontal="center" vertical="center"/>
    </xf>
    <xf numFmtId="0" fontId="27" fillId="14" borderId="0" xfId="0" applyFont="1" applyFill="1" applyAlignment="1">
      <alignment horizontal="center" vertical="center"/>
    </xf>
    <xf numFmtId="0" fontId="14" fillId="15" borderId="0" xfId="0" applyFont="1" applyFill="1" applyAlignment="1">
      <alignment horizontal="center" vertical="center" wrapText="1"/>
    </xf>
    <xf numFmtId="0" fontId="8" fillId="16" borderId="0" xfId="0" applyFont="1" applyFill="1" applyAlignment="1">
      <alignment horizontal="center" vertical="center"/>
    </xf>
    <xf numFmtId="0" fontId="31" fillId="28" borderId="0" xfId="0" applyFont="1" applyFill="1" applyAlignment="1">
      <alignment horizontal="left" vertical="center"/>
    </xf>
    <xf numFmtId="0" fontId="3" fillId="2" borderId="0" xfId="0" applyFont="1" applyFill="1" applyAlignment="1">
      <alignment horizontal="center" vertical="center"/>
    </xf>
    <xf numFmtId="0" fontId="4" fillId="6" borderId="0" xfId="0" applyFont="1" applyFill="1" applyAlignment="1">
      <alignment horizontal="center"/>
    </xf>
    <xf numFmtId="0" fontId="36" fillId="37" borderId="0" xfId="0" applyFont="1" applyFill="1" applyAlignment="1">
      <alignment horizontal="left" vertical="center"/>
    </xf>
    <xf numFmtId="0" fontId="0" fillId="0" borderId="0" xfId="0"/>
    <xf numFmtId="0" fontId="37" fillId="38" borderId="0" xfId="0" applyFont="1" applyFill="1"/>
    <xf numFmtId="0" fontId="38" fillId="40" borderId="0" xfId="0" applyFont="1" applyFill="1"/>
    <xf numFmtId="0" fontId="41" fillId="42" borderId="0" xfId="0" applyFont="1" applyFill="1" applyAlignment="1">
      <alignment horizontal="left" vertical="center"/>
    </xf>
    <xf numFmtId="0" fontId="42" fillId="43" borderId="0" xfId="0" applyFont="1" applyFill="1" applyAlignment="1">
      <alignment vertical="center" wrapText="1"/>
    </xf>
  </cellXfs>
  <cellStyles count="1">
    <cellStyle name="Normal" xfId="0" builtinId="0"/>
  </cellStyles>
  <dxfs count="161">
    <dxf>
      <font>
        <b/>
        <color rgb="FF9F2D38"/>
      </font>
      <fill>
        <patternFill patternType="solid">
          <bgColor rgb="FFFDE9E7"/>
        </patternFill>
      </fill>
    </dxf>
    <dxf>
      <font>
        <b/>
        <color rgb="FFA61B1B"/>
      </font>
      <fill>
        <patternFill>
          <bgColor rgb="FFF7E8E8"/>
        </patternFill>
      </fill>
    </dxf>
    <dxf>
      <font>
        <b/>
        <color rgb="FF0B1F3A"/>
      </font>
      <fill>
        <patternFill>
          <bgColor rgb="FFE8EEF5"/>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ont>
        <b/>
        <color rgb="FF7A5C00"/>
      </font>
    </dxf>
    <dxf>
      <font>
        <b/>
        <color rgb="FFB3261E"/>
      </font>
    </dxf>
    <dxf>
      <font>
        <b/>
        <color rgb="FF137333"/>
      </font>
    </dxf>
    <dxf>
      <font>
        <b/>
        <color rgb="FFA61B1B"/>
      </font>
      <fill>
        <patternFill>
          <bgColor rgb="FFFCE8E8"/>
        </patternFill>
      </fill>
    </dxf>
    <dxf>
      <font>
        <b/>
        <color rgb="FF2E7D32"/>
      </font>
      <fill>
        <patternFill>
          <bgColor rgb="FFDFF2E1"/>
        </patternFill>
      </fill>
    </dxf>
    <dxf>
      <font>
        <b/>
        <color rgb="FFA61B1B"/>
      </font>
      <fill>
        <patternFill>
          <bgColor rgb="FFFCE8E8"/>
        </patternFill>
      </fill>
    </dxf>
    <dxf>
      <font>
        <b/>
        <color rgb="FF2E7D32"/>
      </font>
      <fill>
        <patternFill>
          <bgColor rgb="FFDFF2E1"/>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indexed="64"/>
        </patternFill>
      </fill>
    </dxf>
    <dxf>
      <fill>
        <patternFill>
          <bgColor indexed="64"/>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ont>
        <b/>
        <color rgb="FFA61B1B"/>
      </font>
      <fill>
        <patternFill>
          <bgColor rgb="FFF7E8E8"/>
        </patternFill>
      </fill>
    </dxf>
    <dxf>
      <font>
        <b/>
        <color rgb="FF0B1F3A"/>
      </font>
      <fill>
        <patternFill>
          <bgColor rgb="FFE8EEF5"/>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rgb="FFF89292"/>
        </patternFill>
      </fill>
    </dxf>
    <dxf>
      <fill>
        <patternFill>
          <bgColor theme="4" tint="0.3999450666829432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rgb="FFF89292"/>
        </patternFill>
      </fill>
    </dxf>
    <dxf>
      <fill>
        <patternFill>
          <bgColor theme="4" tint="0.3999450666829432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rgb="FFF89292"/>
        </patternFill>
      </fill>
    </dxf>
    <dxf>
      <fill>
        <patternFill>
          <bgColor theme="4" tint="0.3999450666829432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rgb="FFF89292"/>
        </patternFill>
      </fill>
    </dxf>
    <dxf>
      <fill>
        <patternFill>
          <bgColor theme="4" tint="0.3999450666829432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theme="4" tint="0.39994506668294322"/>
        </patternFill>
      </fill>
    </dxf>
    <dxf>
      <fill>
        <patternFill>
          <bgColor rgb="FFF89292"/>
        </patternFill>
      </fill>
    </dxf>
    <dxf>
      <fill>
        <patternFill>
          <bgColor indexed="64"/>
        </patternFill>
      </fill>
    </dxf>
    <dxf>
      <fill>
        <patternFill>
          <bgColor indexed="64"/>
        </patternFill>
      </fill>
    </dxf>
    <dxf>
      <font>
        <b/>
        <color rgb="FF2E7D32"/>
      </font>
      <fill>
        <patternFill>
          <bgColor rgb="FFDFF2E1"/>
        </patternFill>
      </fill>
    </dxf>
    <dxf>
      <font>
        <b/>
        <color rgb="FF8A6D1D"/>
      </font>
      <fill>
        <patternFill>
          <bgColor rgb="FFF8EFC8"/>
        </patternFill>
      </fill>
    </dxf>
    <dxf>
      <font>
        <b/>
        <color rgb="FF0B1F3A"/>
      </font>
      <fill>
        <patternFill>
          <bgColor rgb="FFDDE8F4"/>
        </patternFill>
      </fill>
    </dxf>
    <dxf>
      <font>
        <b/>
        <color rgb="FFB4232C"/>
      </font>
      <fill>
        <patternFill>
          <bgColor rgb="FFFADADD"/>
        </patternFill>
      </fill>
    </dxf>
    <dxf>
      <font>
        <b/>
        <color rgb="FF8A6D1D"/>
      </font>
      <fill>
        <patternFill>
          <bgColor rgb="FFF8EFC8"/>
        </patternFill>
      </fill>
    </dxf>
    <dxf>
      <font>
        <b/>
        <color rgb="FF0B1F3A"/>
      </font>
      <fill>
        <patternFill>
          <bgColor rgb="FFDDE8F4"/>
        </patternFill>
      </fill>
    </dxf>
    <dxf>
      <font>
        <b/>
        <color rgb="FFB4232C"/>
      </font>
      <fill>
        <patternFill>
          <bgColor rgb="FFFADADD"/>
        </patternFill>
      </fill>
    </dxf>
    <dxf>
      <font>
        <b/>
        <color rgb="FF17202A"/>
      </font>
      <fill>
        <patternFill>
          <bgColor rgb="FFD4AF37"/>
        </patternFill>
      </fill>
    </dxf>
    <dxf>
      <font>
        <b/>
        <color rgb="FFFFFFFF"/>
      </font>
      <fill>
        <patternFill>
          <bgColor rgb="FFA61B1B"/>
        </patternFill>
      </fill>
    </dxf>
    <dxf>
      <font>
        <b/>
        <color rgb="FFFFFFFF"/>
      </font>
      <fill>
        <patternFill>
          <bgColor rgb="FF173A63"/>
        </patternFill>
      </fill>
    </dxf>
    <dxf>
      <fill>
        <patternFill>
          <bgColor theme="5" tint="0.79985961485641044"/>
        </patternFill>
      </fill>
    </dxf>
    <dxf>
      <fill>
        <patternFill>
          <bgColor theme="0" tint="-4.9989318521683403E-2"/>
        </patternFill>
      </fill>
    </dxf>
    <dxf>
      <fill>
        <patternFill>
          <bgColor theme="4" tint="0.79985961485641044"/>
        </patternFill>
      </fill>
    </dxf>
    <dxf>
      <fill>
        <patternFill>
          <bgColor theme="5" tint="0.79985961485641044"/>
        </patternFill>
      </fill>
    </dxf>
    <dxf>
      <fill>
        <patternFill>
          <bgColor theme="0" tint="-4.9989318521683403E-2"/>
        </patternFill>
      </fill>
    </dxf>
    <dxf>
      <fill>
        <patternFill>
          <bgColor theme="4" tint="0.79985961485641044"/>
        </patternFill>
      </fill>
    </dxf>
    <dxf>
      <fill>
        <patternFill>
          <bgColor theme="5" tint="0.79985961485641044"/>
        </patternFill>
      </fill>
    </dxf>
    <dxf>
      <fill>
        <patternFill>
          <bgColor theme="0" tint="-4.9989318521683403E-2"/>
        </patternFill>
      </fill>
    </dxf>
    <dxf>
      <fill>
        <patternFill>
          <bgColor theme="4" tint="0.79985961485641044"/>
        </patternFill>
      </fill>
    </dxf>
    <dxf>
      <fill>
        <patternFill>
          <bgColor theme="5" tint="0.79985961485641044"/>
        </patternFill>
      </fill>
    </dxf>
    <dxf>
      <fill>
        <patternFill>
          <bgColor theme="0" tint="-4.9989318521683403E-2"/>
        </patternFill>
      </fill>
    </dxf>
    <dxf>
      <fill>
        <patternFill>
          <bgColor theme="4" tint="0.79985961485641044"/>
        </patternFill>
      </fill>
    </dxf>
    <dxf>
      <fill>
        <patternFill>
          <bgColor theme="5" tint="0.79985961485641044"/>
        </patternFill>
      </fill>
    </dxf>
    <dxf>
      <fill>
        <patternFill>
          <bgColor theme="0" tint="-4.9989318521683403E-2"/>
        </patternFill>
      </fill>
    </dxf>
    <dxf>
      <fill>
        <patternFill>
          <bgColor theme="4" tint="0.79985961485641044"/>
        </patternFill>
      </fill>
    </dxf>
    <dxf>
      <fill>
        <patternFill>
          <bgColor theme="5" tint="0.79985961485641044"/>
        </patternFill>
      </fill>
    </dxf>
    <dxf>
      <fill>
        <patternFill>
          <bgColor theme="0" tint="-4.9989318521683403E-2"/>
        </patternFill>
      </fill>
    </dxf>
    <dxf>
      <fill>
        <patternFill>
          <bgColor theme="4" tint="0.79985961485641044"/>
        </patternFill>
      </fill>
    </dxf>
    <dxf>
      <fill>
        <patternFill>
          <bgColor theme="5" tint="0.79985961485641044"/>
        </patternFill>
      </fill>
    </dxf>
    <dxf>
      <fill>
        <patternFill>
          <bgColor theme="0" tint="-4.9989318521683403E-2"/>
        </patternFill>
      </fill>
    </dxf>
    <dxf>
      <fill>
        <patternFill>
          <bgColor theme="4" tint="0.79985961485641044"/>
        </patternFill>
      </fill>
    </dxf>
    <dxf>
      <font>
        <b/>
        <color rgb="FF0B1F3A"/>
      </font>
    </dxf>
    <dxf>
      <font>
        <b/>
        <color rgb="FFB4232C"/>
      </font>
    </dxf>
    <dxf>
      <font>
        <b val="0"/>
        <i val="0"/>
        <strike val="0"/>
        <condense val="0"/>
        <extend val="0"/>
        <outline val="0"/>
        <shadow val="0"/>
        <u val="none"/>
        <vertAlign val="baseline"/>
        <sz val="10"/>
        <color rgb="FF071827"/>
        <name val="Carlito"/>
        <scheme val="none"/>
      </font>
      <numFmt numFmtId="1" formatCode="0"/>
      <fill>
        <patternFill patternType="solid">
          <fgColor indexed="64"/>
          <bgColor rgb="FFFFF9E8"/>
        </patternFill>
      </fill>
      <alignment horizontal="general" vertical="top" textRotation="0" wrapText="1" indent="0" justifyLastLine="0" shrinkToFit="0" readingOrder="0"/>
    </dxf>
    <dxf>
      <font>
        <b val="0"/>
        <i val="0"/>
        <strike val="0"/>
        <condense val="0"/>
        <extend val="0"/>
        <outline val="0"/>
        <shadow val="0"/>
        <u val="none"/>
        <vertAlign val="baseline"/>
        <sz val="10"/>
        <color rgb="FF071827"/>
        <name val="Carlito"/>
        <scheme val="none"/>
      </font>
      <numFmt numFmtId="1" formatCode="0"/>
      <fill>
        <patternFill patternType="solid">
          <fgColor indexed="64"/>
          <bgColor rgb="FFFFF9E8"/>
        </patternFill>
      </fill>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layerMatchHistory" displayName="PlayerMatchHistory" ref="A28:J196">
  <autoFilter ref="A28:J196" xr:uid="{00000000-0009-0000-0100-000001000000}"/>
  <tableColumns count="10">
    <tableColumn id="1" xr3:uid="{00000000-0010-0000-0000-000001000000}" name="Year"/>
    <tableColumn id="2" xr3:uid="{00000000-0010-0000-0000-000002000000}" name="Day"/>
    <tableColumn id="11" xr3:uid="{00000000-0010-0000-0000-00000B000000}" name="Format"/>
    <tableColumn id="3" xr3:uid="{00000000-0010-0000-0000-000003000000}" name="Segment"/>
    <tableColumn id="4" xr3:uid="{00000000-0010-0000-0000-000004000000}" name="Player"/>
    <tableColumn id="5" xr3:uid="{00000000-0010-0000-0000-000005000000}" name="Team"/>
    <tableColumn id="6" xr3:uid="{00000000-0010-0000-0000-000006000000}" name="Teammate(s)"/>
    <tableColumn id="7" xr3:uid="{00000000-0010-0000-0000-000007000000}" name="Singles Opponent"/>
    <tableColumn id="8" xr3:uid="{00000000-0010-0000-0000-000008000000}" name="Result"/>
    <tableColumn id="9" xr3:uid="{00000000-0010-0000-0000-000009000000}" name="Score / 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tchHistoryTable" displayName="MatchHistoryTable" ref="A1:T121">
  <tableColumns count="20">
    <tableColumn id="1" xr3:uid="{00000000-0010-0000-0100-000001000000}" name="match_id"/>
    <tableColumn id="2" xr3:uid="{00000000-0010-0000-0100-000002000000}" name="tournament_id"/>
    <tableColumn id="3" xr3:uid="{00000000-0010-0000-0100-000003000000}" name="year"/>
    <tableColumn id="4" xr3:uid="{00000000-0010-0000-0100-000004000000}" name="session_id"/>
    <tableColumn id="5" xr3:uid="{00000000-0010-0000-0100-000005000000}" name="format"/>
    <tableColumn id="6" xr3:uid="{00000000-0010-0000-0100-000006000000}" name="match_type"/>
    <tableColumn id="7" xr3:uid="{00000000-0010-0000-0100-000007000000}" name="course"/>
    <tableColumn id="8" xr3:uid="{00000000-0010-0000-0100-000008000000}" name="player_id"/>
    <tableColumn id="9" xr3:uid="{00000000-0010-0000-0100-000009000000}" name="player_name"/>
    <tableColumn id="10" xr3:uid="{00000000-0010-0000-0100-00000A000000}" name="team_id"/>
    <tableColumn id="11" xr3:uid="{00000000-0010-0000-0100-00000B000000}" name="partner_player_ids"/>
    <tableColumn id="12" xr3:uid="{00000000-0010-0000-0100-00000C000000}" name="partner_names"/>
    <tableColumn id="13" xr3:uid="{00000000-0010-0000-0100-00000D000000}" name="opponent_1_id"/>
    <tableColumn id="14" xr3:uid="{00000000-0010-0000-0100-00000E000000}" name="opponent_1_name"/>
    <tableColumn id="15" xr3:uid="{00000000-0010-0000-0100-00000F000000}" name="opponent_2_id"/>
    <tableColumn id="16" xr3:uid="{00000000-0010-0000-0100-000010000000}" name="opponent_2_name"/>
    <tableColumn id="17" xr3:uid="{00000000-0010-0000-0100-000011000000}" name="result"/>
    <tableColumn id="18" xr3:uid="{00000000-0010-0000-0100-000012000000}" name="points_earned"/>
    <tableColumn id="19" xr3:uid="{00000000-0010-0000-0100-000013000000}" name="score_notes"/>
    <tableColumn id="20" xr3:uid="{00000000-0010-0000-0100-000014000000}" name="source_record_book_row"/>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F5218E-AD9C-4C87-99C7-9C059023E7C5}" name="PageMediaTable" displayName="PageMediaTable" ref="A4:T235">
  <autoFilter ref="A4:T235" xr:uid="{BDF5218E-AD9C-4C87-99C7-9C059023E7C5}"/>
  <tableColumns count="20">
    <tableColumn id="1" xr3:uid="{0A7AA758-34F7-48BE-9FB7-0166B4686E1F}" name="media_id"/>
    <tableColumn id="2" xr3:uid="{8DCF1F9D-50C4-489B-8103-31B8C3C39CB4}" name="year"/>
    <tableColumn id="3" xr3:uid="{B48974EF-13C9-447C-AA43-7FEBC5E8A22F}" name="sequence"/>
    <tableColumn id="4" xr3:uid="{D7DFA9CE-17FD-4C2E-B2CC-F7E852977145}" name="file_name"/>
    <tableColumn id="5" xr3:uid="{CE4C47B1-E843-4770-8E18-AEECE5DD6311}" name="file_path"/>
    <tableColumn id="6" xr3:uid="{A5C3B95B-55CE-44E0-8919-6BB6453986E8}" name="subjects"/>
    <tableColumn id="7" xr3:uid="{40A155F6-5BE2-4DCA-A0CC-634D0B81E6D0}" name="activity"/>
    <tableColumn id="8" xr3:uid="{04A55266-F7CA-4086-ABD4-5EF7B4A63496}" name="file_type"/>
    <tableColumn id="9" xr3:uid="{95171D9B-6685-46F0-B25F-9E360FB902D3}" name="file_size_kb"/>
    <tableColumn id="10" xr3:uid="{6F72AE5D-2FC7-4909-956A-DFD872F93C8C}" name="page_id"/>
    <tableColumn id="11" xr3:uid="{36A41BC3-F4C2-4D0B-9EAC-0F6BD6D01772}" name="section_id"/>
    <tableColumn id="12" xr3:uid="{DA72C034-84A1-489A-ABCD-DDB7FEF184E5}" name="display_order"/>
    <tableColumn id="19" xr3:uid="{A0BC7698-B021-49FB-AE50-DC262C90CA55}" name="scope_id" dataDxfId="160"/>
    <tableColumn id="20" xr3:uid="{A5A52E6C-3D23-45FC-B3EE-7D6DAE5BEE70}" name="featured" dataDxfId="159"/>
    <tableColumn id="13" xr3:uid="{B1933369-28BE-42DC-9809-EC4C30CAACC0}" name="priority"/>
    <tableColumn id="14" xr3:uid="{B0988E2F-CA36-404B-BE51-9D678528053C}" name="alt_text"/>
    <tableColumn id="15" xr3:uid="{6D7E7BFB-1331-4035-AB8C-4D5F302D1B17}" name="caption"/>
    <tableColumn id="16" xr3:uid="{E3156D3D-F1AA-44BD-BFFD-E7B39607A50A}" name="active"/>
    <tableColumn id="17" xr3:uid="{28BF1B02-B702-48F0-8446-95B666A2A1A6}" name="object_position"/>
    <tableColumn id="18" xr3:uid="{0F8579F5-5D92-420C-94D6-481661D952AD}" name="notes"/>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6"/>
  <sheetViews>
    <sheetView showGridLines="0" topLeftCell="A7" workbookViewId="0">
      <selection activeCell="E18" sqref="E18"/>
    </sheetView>
  </sheetViews>
  <sheetFormatPr defaultColWidth="12.5703125" defaultRowHeight="12.75"/>
  <cols>
    <col min="1" max="2" width="18" customWidth="1"/>
    <col min="3" max="3" width="8" customWidth="1"/>
    <col min="4" max="7" width="17" customWidth="1"/>
    <col min="8" max="8" width="13" customWidth="1"/>
    <col min="9" max="9" width="24" customWidth="1"/>
    <col min="10" max="10" width="13" customWidth="1"/>
    <col min="11" max="12" width="11" customWidth="1"/>
    <col min="13" max="13" width="24" customWidth="1"/>
    <col min="14" max="14" width="16" customWidth="1"/>
    <col min="16" max="17" width="16" customWidth="1"/>
  </cols>
  <sheetData>
    <row r="1" spans="1:14" ht="27.95" customHeight="1">
      <c r="A1" s="195" t="s">
        <v>0</v>
      </c>
      <c r="B1" s="195"/>
      <c r="C1" s="195"/>
      <c r="D1" s="195"/>
      <c r="E1" s="195"/>
      <c r="F1" s="195"/>
      <c r="G1" s="195"/>
      <c r="H1" s="195"/>
      <c r="I1" s="195"/>
      <c r="J1" s="195"/>
      <c r="K1" s="195"/>
      <c r="L1" s="195"/>
      <c r="M1" s="195"/>
      <c r="N1" s="195"/>
    </row>
    <row r="2" spans="1:14" ht="27.95" customHeight="1">
      <c r="A2" s="195"/>
      <c r="B2" s="195"/>
      <c r="C2" s="195"/>
      <c r="D2" s="195"/>
      <c r="E2" s="195"/>
      <c r="F2" s="195"/>
      <c r="G2" s="195"/>
      <c r="H2" s="195"/>
      <c r="I2" s="195"/>
      <c r="J2" s="195"/>
      <c r="K2" s="195"/>
      <c r="L2" s="195"/>
      <c r="M2" s="195"/>
      <c r="N2" s="195"/>
    </row>
    <row r="3" spans="1:14" ht="15.75" customHeight="1">
      <c r="A3" s="13" t="s">
        <v>1</v>
      </c>
      <c r="B3" s="15">
        <f>$B$4/2+0.5</f>
        <v>15.5</v>
      </c>
      <c r="C3" s="10"/>
      <c r="D3" s="10"/>
      <c r="E3" s="10"/>
      <c r="F3" s="10"/>
      <c r="G3" s="10"/>
      <c r="H3" s="10"/>
      <c r="I3" s="10"/>
      <c r="J3" s="10"/>
      <c r="K3" s="10"/>
      <c r="L3" s="10"/>
      <c r="M3" s="10"/>
      <c r="N3" s="10"/>
    </row>
    <row r="4" spans="1:14" ht="15.75" customHeight="1">
      <c r="A4" s="14" t="s">
        <v>2</v>
      </c>
      <c r="B4" s="16">
        <f>SUM($C$15:$C$22)+SUMIFS($C$28:$C$55,$B$28:$B$55,"&lt;&gt;MATCH SUBTOTAL")</f>
        <v>30</v>
      </c>
      <c r="C4" s="10"/>
      <c r="D4" s="10"/>
      <c r="E4" s="10"/>
      <c r="F4" s="10"/>
      <c r="G4" s="10"/>
      <c r="H4" s="10"/>
      <c r="I4" s="10"/>
      <c r="J4" s="10"/>
      <c r="K4" s="10"/>
      <c r="L4" s="10"/>
      <c r="M4" s="10"/>
      <c r="N4" s="10"/>
    </row>
    <row r="5" spans="1:14" ht="15.75" customHeight="1">
      <c r="A5" s="10"/>
      <c r="B5" s="10"/>
      <c r="C5" s="10"/>
      <c r="D5" s="10"/>
      <c r="E5" s="10"/>
      <c r="F5" s="10"/>
      <c r="G5" s="10"/>
      <c r="H5" s="10"/>
      <c r="I5" s="10"/>
      <c r="J5" s="10"/>
      <c r="K5" s="10"/>
      <c r="L5" s="10"/>
      <c r="M5" s="10"/>
      <c r="N5" s="10"/>
    </row>
    <row r="6" spans="1:14" ht="15.75" customHeight="1">
      <c r="A6" s="196" t="s">
        <v>3</v>
      </c>
      <c r="B6" s="196"/>
      <c r="C6" s="196"/>
      <c r="D6" s="196"/>
      <c r="E6" s="196"/>
      <c r="F6" s="196"/>
      <c r="G6" s="200" t="s">
        <v>4</v>
      </c>
      <c r="H6" s="200"/>
      <c r="I6" s="197" t="s">
        <v>5</v>
      </c>
      <c r="J6" s="197"/>
      <c r="K6" s="197"/>
      <c r="L6" s="197"/>
      <c r="M6" s="197"/>
      <c r="N6" s="197"/>
    </row>
    <row r="7" spans="1:14">
      <c r="A7" s="198">
        <f>SUM($H$15:$H$22)+SUMIFS($L$28:$L$55,$B$28:$B$55,"&lt;&gt;MATCH SUBTOTAL")</f>
        <v>0</v>
      </c>
      <c r="B7" s="198"/>
      <c r="C7" s="198"/>
      <c r="D7" s="198"/>
      <c r="E7" s="198"/>
      <c r="F7" s="198"/>
      <c r="G7" s="201" t="str">
        <f>IF(A7&gt;=$B$3,"TEAM NAVY WINS",IF(I7&gt;$B$3,"TEAM RED WINS",IF(A7&gt;I7,"TEAM NAVY LEADS",IF(I7&gt;A7,"TEAM RED LEADS","MATCH TIED"))))</f>
        <v>MATCH TIED</v>
      </c>
      <c r="H7" s="201"/>
      <c r="I7" s="199">
        <f>SUM($G$15:$G$22)+SUMIFS($K$28:$K$55,$B$28:$B$55,"&lt;&gt;MATCH SUBTOTAL")</f>
        <v>0</v>
      </c>
      <c r="J7" s="199"/>
      <c r="K7" s="199"/>
      <c r="L7" s="199"/>
      <c r="M7" s="199"/>
      <c r="N7" s="199"/>
    </row>
    <row r="8" spans="1:14">
      <c r="A8" s="198"/>
      <c r="B8" s="198"/>
      <c r="C8" s="198"/>
      <c r="D8" s="198"/>
      <c r="E8" s="198"/>
      <c r="F8" s="198"/>
      <c r="G8" s="201"/>
      <c r="H8" s="201"/>
      <c r="I8" s="199"/>
      <c r="J8" s="199"/>
      <c r="K8" s="199"/>
      <c r="L8" s="199"/>
      <c r="M8" s="199"/>
      <c r="N8" s="199"/>
    </row>
    <row r="9" spans="1:14" ht="13.5">
      <c r="A9" s="198"/>
      <c r="B9" s="198"/>
      <c r="C9" s="198"/>
      <c r="D9" s="198"/>
      <c r="E9" s="198"/>
      <c r="F9" s="198"/>
      <c r="G9" s="202" t="str">
        <f>"Points remaining: "&amp;TEXT(MAX(0,$B$4-A7-I7),"0.0")</f>
        <v>Points remaining: 30.0</v>
      </c>
      <c r="H9" s="202"/>
      <c r="I9" s="199"/>
      <c r="J9" s="199"/>
      <c r="K9" s="199"/>
      <c r="L9" s="199"/>
      <c r="M9" s="199"/>
      <c r="N9" s="199"/>
    </row>
    <row r="10" spans="1:14" ht="20.25" customHeight="1">
      <c r="A10" s="88" t="str">
        <f>"Need "&amp;TEXT(MAX(0,$B$3-A7),"0.0")&amp;" more points to win"</f>
        <v>Need 15.5 more points to win</v>
      </c>
      <c r="B10" s="89"/>
      <c r="C10" s="89"/>
      <c r="D10" s="90"/>
      <c r="E10" s="89"/>
      <c r="F10" s="89"/>
      <c r="G10" s="89"/>
      <c r="H10" s="91"/>
      <c r="I10" s="91" t="str">
        <f>"Need "&amp;TEXT(MAX(0,$B$3-I7),"0.0")&amp;" more points to win"</f>
        <v>Need 15.5 more points to win</v>
      </c>
      <c r="J10" s="91"/>
      <c r="K10" s="91"/>
      <c r="L10" s="91"/>
      <c r="M10" s="91"/>
      <c r="N10" s="91"/>
    </row>
    <row r="13" spans="1:14" ht="32.1" customHeight="1">
      <c r="A13" s="187" t="s">
        <v>6</v>
      </c>
      <c r="B13" s="187"/>
      <c r="C13" s="187"/>
      <c r="D13" s="187"/>
      <c r="E13" s="187"/>
      <c r="F13" s="187"/>
      <c r="G13" s="187"/>
      <c r="H13" s="187"/>
      <c r="I13" s="187"/>
    </row>
    <row r="14" spans="1:14" ht="20.100000000000001" customHeight="1">
      <c r="A14" s="17" t="s">
        <v>7</v>
      </c>
      <c r="B14" s="17" t="s">
        <v>8</v>
      </c>
      <c r="C14" s="17" t="s">
        <v>9</v>
      </c>
      <c r="D14" s="17" t="s">
        <v>10</v>
      </c>
      <c r="E14" s="17" t="s">
        <v>11</v>
      </c>
      <c r="F14" s="17" t="s">
        <v>12</v>
      </c>
      <c r="G14" s="17" t="s">
        <v>13</v>
      </c>
      <c r="H14" s="17" t="s">
        <v>14</v>
      </c>
      <c r="I14" s="17" t="s">
        <v>15</v>
      </c>
    </row>
    <row r="15" spans="1:14" ht="20.100000000000001" customHeight="1">
      <c r="A15" s="40" t="s">
        <v>16</v>
      </c>
      <c r="B15" s="40" t="s">
        <v>17</v>
      </c>
      <c r="C15" s="40">
        <v>1</v>
      </c>
      <c r="D15" s="85"/>
      <c r="E15" s="18"/>
      <c r="F15" s="80" t="str">
        <f t="shared" ref="F15:F22" si="0">IF(D15="","Not Started","Final")</f>
        <v>Not Started</v>
      </c>
      <c r="G15" s="92">
        <f t="shared" ref="G15:G22" si="1">IF(D15="Red",C15,IF(D15="Tied",C15/2,0))</f>
        <v>0</v>
      </c>
      <c r="H15" s="92">
        <f t="shared" ref="H15:H22" si="2">IF(D15="Navy",C15,IF(D15="Tied",C15/2,0))</f>
        <v>0</v>
      </c>
      <c r="I15" s="21" t="s">
        <v>18</v>
      </c>
    </row>
    <row r="16" spans="1:14" ht="20.100000000000001" customHeight="1">
      <c r="A16" s="40" t="s">
        <v>16</v>
      </c>
      <c r="B16" s="40" t="s">
        <v>19</v>
      </c>
      <c r="C16" s="40">
        <v>1</v>
      </c>
      <c r="D16" s="85"/>
      <c r="E16" s="18"/>
      <c r="F16" s="80" t="str">
        <f t="shared" si="0"/>
        <v>Not Started</v>
      </c>
      <c r="G16" s="92">
        <f t="shared" si="1"/>
        <v>0</v>
      </c>
      <c r="H16" s="92">
        <f t="shared" si="2"/>
        <v>0</v>
      </c>
      <c r="I16" s="21" t="s">
        <v>20</v>
      </c>
    </row>
    <row r="17" spans="1:14" ht="20.100000000000001" customHeight="1">
      <c r="A17" s="84" t="s">
        <v>16</v>
      </c>
      <c r="B17" s="84" t="s">
        <v>21</v>
      </c>
      <c r="C17" s="84">
        <v>1</v>
      </c>
      <c r="D17" s="86"/>
      <c r="E17" s="81"/>
      <c r="F17" s="81" t="str">
        <f t="shared" si="0"/>
        <v>Not Started</v>
      </c>
      <c r="G17" s="82">
        <f t="shared" si="1"/>
        <v>0</v>
      </c>
      <c r="H17" s="82">
        <f t="shared" si="2"/>
        <v>0</v>
      </c>
      <c r="I17" s="83" t="s">
        <v>22</v>
      </c>
    </row>
    <row r="18" spans="1:14" ht="20.100000000000001" customHeight="1">
      <c r="A18" s="84" t="s">
        <v>23</v>
      </c>
      <c r="B18" s="84" t="s">
        <v>24</v>
      </c>
      <c r="C18" s="84">
        <v>1</v>
      </c>
      <c r="D18" s="87"/>
      <c r="E18" s="81"/>
      <c r="F18" s="81" t="str">
        <f t="shared" si="0"/>
        <v>Not Started</v>
      </c>
      <c r="G18" s="82">
        <f t="shared" si="1"/>
        <v>0</v>
      </c>
      <c r="H18" s="82">
        <f t="shared" si="2"/>
        <v>0</v>
      </c>
      <c r="I18" s="83" t="s">
        <v>25</v>
      </c>
    </row>
    <row r="19" spans="1:14" ht="20.100000000000001" customHeight="1">
      <c r="A19" s="84" t="s">
        <v>26</v>
      </c>
      <c r="B19" s="84" t="s">
        <v>24</v>
      </c>
      <c r="C19" s="84">
        <v>1</v>
      </c>
      <c r="D19" s="87"/>
      <c r="E19" s="81"/>
      <c r="F19" s="81" t="str">
        <f t="shared" si="0"/>
        <v>Not Started</v>
      </c>
      <c r="G19" s="82">
        <f t="shared" si="1"/>
        <v>0</v>
      </c>
      <c r="H19" s="82">
        <f t="shared" si="2"/>
        <v>0</v>
      </c>
      <c r="I19" s="83" t="s">
        <v>27</v>
      </c>
    </row>
    <row r="20" spans="1:14" ht="20.100000000000001" customHeight="1">
      <c r="A20" s="84" t="s">
        <v>28</v>
      </c>
      <c r="B20" s="84" t="s">
        <v>24</v>
      </c>
      <c r="C20" s="84">
        <v>1</v>
      </c>
      <c r="D20" s="87"/>
      <c r="E20" s="81"/>
      <c r="F20" s="81" t="str">
        <f t="shared" si="0"/>
        <v>Not Started</v>
      </c>
      <c r="G20" s="82">
        <f t="shared" si="1"/>
        <v>0</v>
      </c>
      <c r="H20" s="82">
        <f t="shared" si="2"/>
        <v>0</v>
      </c>
      <c r="I20" s="83" t="s">
        <v>29</v>
      </c>
    </row>
    <row r="21" spans="1:14" ht="20.100000000000001" customHeight="1">
      <c r="A21" s="84" t="s">
        <v>30</v>
      </c>
      <c r="B21" s="84" t="s">
        <v>24</v>
      </c>
      <c r="C21" s="84">
        <v>1</v>
      </c>
      <c r="D21" s="87"/>
      <c r="E21" s="81"/>
      <c r="F21" s="81" t="str">
        <f t="shared" si="0"/>
        <v>Not Started</v>
      </c>
      <c r="G21" s="82">
        <f t="shared" si="1"/>
        <v>0</v>
      </c>
      <c r="H21" s="82">
        <f t="shared" si="2"/>
        <v>0</v>
      </c>
      <c r="I21" s="83" t="s">
        <v>31</v>
      </c>
    </row>
    <row r="22" spans="1:14" ht="20.100000000000001" customHeight="1">
      <c r="A22" s="84" t="s">
        <v>32</v>
      </c>
      <c r="B22" s="84" t="s">
        <v>24</v>
      </c>
      <c r="C22" s="84">
        <v>1</v>
      </c>
      <c r="D22" s="87"/>
      <c r="E22" s="81"/>
      <c r="F22" s="81" t="str">
        <f t="shared" si="0"/>
        <v>Not Started</v>
      </c>
      <c r="G22" s="82">
        <f t="shared" si="1"/>
        <v>0</v>
      </c>
      <c r="H22" s="82">
        <f t="shared" si="2"/>
        <v>0</v>
      </c>
      <c r="I22" s="83" t="s">
        <v>33</v>
      </c>
    </row>
    <row r="23" spans="1:14" ht="20.100000000000001" customHeight="1">
      <c r="A23" s="22"/>
      <c r="B23" s="22"/>
      <c r="C23" s="21"/>
      <c r="D23" s="22"/>
      <c r="E23" s="22"/>
      <c r="F23" s="22"/>
      <c r="G23" s="22"/>
      <c r="H23" s="22"/>
      <c r="I23" s="21"/>
      <c r="J23" s="22"/>
      <c r="K23" s="21"/>
      <c r="L23" s="31"/>
      <c r="M23" s="31"/>
      <c r="N23" s="22"/>
    </row>
    <row r="24" spans="1:14" ht="20.100000000000001" customHeight="1">
      <c r="A24" s="18"/>
      <c r="B24" s="19"/>
      <c r="C24" s="20"/>
      <c r="D24" s="18"/>
      <c r="E24" s="18"/>
      <c r="F24" s="18"/>
      <c r="G24" s="18"/>
      <c r="H24" s="18"/>
      <c r="I24" s="21"/>
      <c r="J24" s="18"/>
      <c r="K24" s="20"/>
      <c r="L24" s="33"/>
      <c r="M24" s="33"/>
      <c r="N24" s="18"/>
    </row>
    <row r="25" spans="1:14" ht="20.100000000000001" customHeight="1">
      <c r="A25" s="188" t="s">
        <v>34</v>
      </c>
      <c r="B25" s="189"/>
      <c r="C25" s="188"/>
      <c r="D25" s="188"/>
      <c r="E25" s="188"/>
      <c r="F25" s="188"/>
      <c r="G25" s="188"/>
      <c r="H25" s="188"/>
      <c r="I25" s="188"/>
      <c r="J25" s="188"/>
      <c r="K25" s="188"/>
      <c r="L25" s="190"/>
      <c r="M25" s="190"/>
    </row>
    <row r="26" spans="1:14" ht="20.100000000000001" customHeight="1">
      <c r="A26" s="70" t="s">
        <v>7</v>
      </c>
      <c r="B26" s="71" t="s">
        <v>8</v>
      </c>
      <c r="C26" s="70" t="s">
        <v>9</v>
      </c>
      <c r="D26" s="70" t="s">
        <v>35</v>
      </c>
      <c r="E26" s="70" t="s">
        <v>36</v>
      </c>
      <c r="F26" s="70" t="s">
        <v>37</v>
      </c>
      <c r="G26" s="70" t="s">
        <v>38</v>
      </c>
      <c r="H26" s="78" t="s">
        <v>10</v>
      </c>
      <c r="I26" s="70" t="s">
        <v>11</v>
      </c>
      <c r="J26" s="70" t="s">
        <v>12</v>
      </c>
      <c r="K26" s="70" t="s">
        <v>13</v>
      </c>
      <c r="L26" s="72" t="s">
        <v>14</v>
      </c>
      <c r="M26" s="72" t="s">
        <v>15</v>
      </c>
    </row>
    <row r="27" spans="1:14" ht="20.100000000000001" customHeight="1">
      <c r="A27" s="66" t="s">
        <v>39</v>
      </c>
      <c r="B27" s="66" t="s">
        <v>40</v>
      </c>
      <c r="C27" s="66">
        <v>3</v>
      </c>
      <c r="D27" s="67" t="s">
        <v>41</v>
      </c>
      <c r="E27" s="67" t="s">
        <v>42</v>
      </c>
      <c r="F27" s="68" t="s">
        <v>43</v>
      </c>
      <c r="G27" s="68" t="s">
        <v>44</v>
      </c>
      <c r="H27" s="77"/>
      <c r="I27" s="66"/>
      <c r="J27" s="66" t="str">
        <f>IF(COUNTA(H28:H30)=0,"Not Started",IF(COUNTA(H28:H30)&lt;3,"In Progress","Final"))</f>
        <v>Not Started</v>
      </c>
      <c r="K27" s="69">
        <f>SUM(K28:K30)</f>
        <v>0</v>
      </c>
      <c r="L27" s="69">
        <f>SUM(L28:L30)</f>
        <v>0</v>
      </c>
      <c r="M27" s="69" t="s">
        <v>45</v>
      </c>
    </row>
    <row r="28" spans="1:14" ht="20.100000000000001" customHeight="1">
      <c r="A28" s="21"/>
      <c r="B28" s="40" t="s">
        <v>17</v>
      </c>
      <c r="C28" s="40">
        <v>1</v>
      </c>
      <c r="D28" s="55" t="str">
        <f>IF(D27="","",D27)</f>
        <v>Kevin Catliff</v>
      </c>
      <c r="E28" s="55" t="str">
        <f>IF(E27="","",E27)</f>
        <v>Sam Griffiths</v>
      </c>
      <c r="F28" s="56" t="str">
        <f>IF(F27="","",F27)</f>
        <v>JJ Meakings</v>
      </c>
      <c r="G28" s="56" t="str">
        <f>IF(G27="","",G27)</f>
        <v>Eric Bleim</v>
      </c>
      <c r="H28" s="73"/>
      <c r="I28" s="39"/>
      <c r="J28" s="39" t="str">
        <f>IF(H28="","Not Started","Final")</f>
        <v>Not Started</v>
      </c>
      <c r="K28" s="43">
        <f>IF(H28="Red",C28,IF(H28="Tied",C28/2,0))</f>
        <v>0</v>
      </c>
      <c r="L28" s="43">
        <f>IF(H28="Navy",C28,IF(H28="Tied",C28/2,0))</f>
        <v>0</v>
      </c>
      <c r="M28" s="43" t="s">
        <v>46</v>
      </c>
    </row>
    <row r="29" spans="1:14" ht="20.100000000000001" customHeight="1">
      <c r="A29" s="21"/>
      <c r="B29" s="40" t="s">
        <v>19</v>
      </c>
      <c r="C29" s="40">
        <v>1</v>
      </c>
      <c r="D29" s="55" t="str">
        <f>IF(D27="","",D27)</f>
        <v>Kevin Catliff</v>
      </c>
      <c r="E29" s="55" t="str">
        <f>IF(E27="","",E27)</f>
        <v>Sam Griffiths</v>
      </c>
      <c r="F29" s="56" t="str">
        <f>IF(F27="","",F27)</f>
        <v>JJ Meakings</v>
      </c>
      <c r="G29" s="56" t="str">
        <f>IF(G27="","",G27)</f>
        <v>Eric Bleim</v>
      </c>
      <c r="H29" s="74"/>
      <c r="J29" s="39" t="str">
        <f>IF(H29="","Not Started","Final")</f>
        <v>Not Started</v>
      </c>
      <c r="K29" s="43">
        <f>IF(H29="Red",C29,IF(H29="Tied",C29/2,0))</f>
        <v>0</v>
      </c>
      <c r="L29" s="43">
        <f>IF(H29="Navy",C29,IF(H29="Tied",C29/2,0))</f>
        <v>0</v>
      </c>
      <c r="M29" s="43" t="s">
        <v>47</v>
      </c>
    </row>
    <row r="30" spans="1:14" ht="20.100000000000001" customHeight="1">
      <c r="A30" s="42"/>
      <c r="B30" s="41" t="s">
        <v>21</v>
      </c>
      <c r="C30" s="41">
        <v>1</v>
      </c>
      <c r="D30" s="57" t="str">
        <f>IF(D27="","",D27)</f>
        <v>Kevin Catliff</v>
      </c>
      <c r="E30" s="57" t="str">
        <f>IF(E27="","",E27)</f>
        <v>Sam Griffiths</v>
      </c>
      <c r="F30" s="58" t="str">
        <f>IF(F27="","",F27)</f>
        <v>JJ Meakings</v>
      </c>
      <c r="G30" s="58" t="str">
        <f>IF(G27="","",G27)</f>
        <v>Eric Bleim</v>
      </c>
      <c r="H30" s="75"/>
      <c r="I30" s="47"/>
      <c r="J30" s="44" t="str">
        <f>IF(H30="","Not Started","Final")</f>
        <v>Not Started</v>
      </c>
      <c r="K30" s="45">
        <f>IF(H30="Red",C30,IF(H30="Tied",C30/2,0))</f>
        <v>0</v>
      </c>
      <c r="L30" s="45">
        <f>IF(H30="Navy",C30,IF(H30="Tied",C30/2,0))</f>
        <v>0</v>
      </c>
      <c r="M30" s="45" t="s">
        <v>48</v>
      </c>
    </row>
    <row r="31" spans="1:14" ht="6" customHeight="1">
      <c r="A31" s="21"/>
      <c r="B31" s="40"/>
      <c r="C31" s="40"/>
      <c r="D31" s="53"/>
      <c r="E31" s="53"/>
      <c r="F31" s="53"/>
      <c r="G31" s="53"/>
      <c r="H31" s="79"/>
      <c r="I31" s="39"/>
      <c r="J31" s="39"/>
      <c r="K31" s="43"/>
      <c r="L31" s="43"/>
      <c r="M31" s="43"/>
    </row>
    <row r="32" spans="1:14" ht="20.100000000000001" customHeight="1">
      <c r="A32" s="66" t="s">
        <v>49</v>
      </c>
      <c r="B32" s="66" t="s">
        <v>40</v>
      </c>
      <c r="C32" s="66">
        <v>3</v>
      </c>
      <c r="D32" s="67" t="s">
        <v>50</v>
      </c>
      <c r="E32" s="67" t="s">
        <v>51</v>
      </c>
      <c r="F32" s="68" t="s">
        <v>606</v>
      </c>
      <c r="G32" s="68" t="s">
        <v>52</v>
      </c>
      <c r="H32" s="77"/>
      <c r="I32" s="66"/>
      <c r="J32" s="66" t="str">
        <f>IF(COUNTA(H33:H35)=0,"Not Started",IF(COUNTA(H33:H35)&lt;3,"In Progress","Final"))</f>
        <v>Not Started</v>
      </c>
      <c r="K32" s="69">
        <f>SUM(K33:K35)</f>
        <v>0</v>
      </c>
      <c r="L32" s="69">
        <f>SUM(L33:L35)</f>
        <v>0</v>
      </c>
      <c r="M32" s="69" t="s">
        <v>53</v>
      </c>
    </row>
    <row r="33" spans="1:13" ht="20.100000000000001" customHeight="1">
      <c r="A33" s="20"/>
      <c r="B33" s="64" t="s">
        <v>17</v>
      </c>
      <c r="C33" s="40">
        <v>1</v>
      </c>
      <c r="D33" s="55" t="str">
        <f>IF(D32="","",D32)</f>
        <v>Sean Bromley</v>
      </c>
      <c r="E33" s="55" t="str">
        <f>IF(E32="","",E32)</f>
        <v>Dylan Bradley</v>
      </c>
      <c r="F33" s="56" t="str">
        <f>IF(F32="","",F32)</f>
        <v>Steve Wells</v>
      </c>
      <c r="G33" s="56" t="str">
        <f>IF(G32="","",G32)</f>
        <v>George Collister</v>
      </c>
      <c r="H33" s="73"/>
      <c r="J33" s="39" t="str">
        <f>IF(H33="","Not Started","Final")</f>
        <v>Not Started</v>
      </c>
      <c r="K33" s="43">
        <f>IF(H33="Red",C33,IF(H33="Tied",C33/2,0))</f>
        <v>0</v>
      </c>
      <c r="L33" s="43">
        <f>IF(H33="Navy",C33,IF(H33="Tied",C33/2,0))</f>
        <v>0</v>
      </c>
      <c r="M33" s="43" t="s">
        <v>54</v>
      </c>
    </row>
    <row r="34" spans="1:13" ht="20.100000000000001" customHeight="1">
      <c r="A34" s="20"/>
      <c r="B34" s="64" t="s">
        <v>19</v>
      </c>
      <c r="C34" s="40">
        <v>1</v>
      </c>
      <c r="D34" s="55" t="str">
        <f>IF(D32="","",D32)</f>
        <v>Sean Bromley</v>
      </c>
      <c r="E34" s="55" t="str">
        <f>IF(E32="","",E32)</f>
        <v>Dylan Bradley</v>
      </c>
      <c r="F34" s="56" t="str">
        <f>IF(F32="","",F32)</f>
        <v>Steve Wells</v>
      </c>
      <c r="G34" s="56" t="str">
        <f>IF(G32="","",G32)</f>
        <v>George Collister</v>
      </c>
      <c r="H34" s="74"/>
      <c r="J34" s="39" t="str">
        <f>IF(H34="","Not Started","Final")</f>
        <v>Not Started</v>
      </c>
      <c r="K34" s="43">
        <f>IF(H34="Red",C34,IF(H34="Tied",C34/2,0))</f>
        <v>0</v>
      </c>
      <c r="L34" s="43">
        <f>IF(H34="Navy",C34,IF(H34="Tied",C34/2,0))</f>
        <v>0</v>
      </c>
      <c r="M34" s="43" t="s">
        <v>55</v>
      </c>
    </row>
    <row r="35" spans="1:13" ht="20.100000000000001" customHeight="1">
      <c r="A35" s="42"/>
      <c r="B35" s="41" t="s">
        <v>21</v>
      </c>
      <c r="C35" s="41">
        <v>1</v>
      </c>
      <c r="D35" s="57" t="str">
        <f>IF(D32="","",D32)</f>
        <v>Sean Bromley</v>
      </c>
      <c r="E35" s="57" t="str">
        <f>IF(E32="","",E32)</f>
        <v>Dylan Bradley</v>
      </c>
      <c r="F35" s="58" t="str">
        <f>IF(F32="","",F32)</f>
        <v>Steve Wells</v>
      </c>
      <c r="G35" s="58" t="str">
        <f>IF(G32="","",G32)</f>
        <v>George Collister</v>
      </c>
      <c r="H35" s="75"/>
      <c r="I35" s="47"/>
      <c r="J35" s="44" t="str">
        <f>IF(H35="","Not Started","Final")</f>
        <v>Not Started</v>
      </c>
      <c r="K35" s="45">
        <f>IF(H35="Red",C35,IF(H35="Tied",C35/2,0))</f>
        <v>0</v>
      </c>
      <c r="L35" s="45">
        <f>IF(H35="Navy",C35,IF(H35="Tied",C35/2,0))</f>
        <v>0</v>
      </c>
      <c r="M35" s="45" t="s">
        <v>56</v>
      </c>
    </row>
    <row r="36" spans="1:13" ht="6" customHeight="1">
      <c r="A36" s="21"/>
      <c r="B36" s="40"/>
      <c r="C36" s="40"/>
      <c r="D36" s="53"/>
      <c r="E36" s="53"/>
      <c r="F36" s="53"/>
      <c r="G36" s="53"/>
      <c r="H36" s="79"/>
      <c r="I36" s="39"/>
      <c r="J36" s="39"/>
      <c r="K36" s="43"/>
      <c r="L36" s="43"/>
      <c r="M36" s="43"/>
    </row>
    <row r="37" spans="1:13" ht="20.100000000000001" customHeight="1">
      <c r="A37" s="66" t="s">
        <v>57</v>
      </c>
      <c r="B37" s="66" t="s">
        <v>40</v>
      </c>
      <c r="C37" s="66">
        <v>6</v>
      </c>
      <c r="D37" s="67" t="s">
        <v>42</v>
      </c>
      <c r="E37" s="66"/>
      <c r="F37" s="68" t="s">
        <v>43</v>
      </c>
      <c r="G37" s="66"/>
      <c r="H37" s="77"/>
      <c r="I37" s="66"/>
      <c r="J37" s="66" t="str">
        <f>IF(COUNTA(H38:H40)=0,"Not Started",IF(COUNTA(H38:H40)&lt;3,"In Progress","Final"))</f>
        <v>Not Started</v>
      </c>
      <c r="K37" s="69">
        <f>SUM(K38:K40)</f>
        <v>0</v>
      </c>
      <c r="L37" s="69">
        <f>SUM(L38:L40)</f>
        <v>0</v>
      </c>
      <c r="M37" s="69" t="s">
        <v>58</v>
      </c>
    </row>
    <row r="38" spans="1:13" ht="20.100000000000001" customHeight="1">
      <c r="A38" s="20"/>
      <c r="B38" s="64" t="s">
        <v>17</v>
      </c>
      <c r="C38" s="40">
        <v>1</v>
      </c>
      <c r="D38" s="55" t="str">
        <f>IF(D37="","",D37)</f>
        <v>Sam Griffiths</v>
      </c>
      <c r="E38" s="59"/>
      <c r="F38" s="56" t="str">
        <f>IF(F37="","",F37)</f>
        <v>JJ Meakings</v>
      </c>
      <c r="G38" s="59"/>
      <c r="H38" s="73"/>
      <c r="J38" s="39" t="str">
        <f>IF(H38="","Not Started","Final")</f>
        <v>Not Started</v>
      </c>
      <c r="K38" s="43">
        <f>IF(H38="Red",C38,IF(H38="Tied",C38/2,0))</f>
        <v>0</v>
      </c>
      <c r="L38" s="43">
        <f>IF(H38="Navy",C38,IF(H38="Tied",C38/2,0))</f>
        <v>0</v>
      </c>
      <c r="M38" s="43" t="s">
        <v>59</v>
      </c>
    </row>
    <row r="39" spans="1:13" ht="20.100000000000001" customHeight="1">
      <c r="A39" s="20"/>
      <c r="B39" s="64" t="s">
        <v>19</v>
      </c>
      <c r="C39" s="40">
        <v>1</v>
      </c>
      <c r="D39" s="55" t="str">
        <f>IF(D37="","",D37)</f>
        <v>Sam Griffiths</v>
      </c>
      <c r="E39" s="59"/>
      <c r="F39" s="56" t="str">
        <f>IF(F37="","",F37)</f>
        <v>JJ Meakings</v>
      </c>
      <c r="G39" s="59"/>
      <c r="H39" s="74"/>
      <c r="J39" s="39" t="str">
        <f>IF(H39="","Not Started","Final")</f>
        <v>Not Started</v>
      </c>
      <c r="K39" s="43">
        <f>IF(H39="Red",C39,IF(H39="Tied",C39/2,0))</f>
        <v>0</v>
      </c>
      <c r="L39" s="43">
        <f>IF(H39="Navy",C39,IF(H39="Tied",C39/2,0))</f>
        <v>0</v>
      </c>
      <c r="M39" s="43" t="s">
        <v>60</v>
      </c>
    </row>
    <row r="40" spans="1:13" ht="20.100000000000001" customHeight="1">
      <c r="A40" s="42"/>
      <c r="B40" s="41" t="s">
        <v>21</v>
      </c>
      <c r="C40" s="41">
        <v>2</v>
      </c>
      <c r="D40" s="57" t="str">
        <f>IF(D37="","",D37)</f>
        <v>Sam Griffiths</v>
      </c>
      <c r="E40" s="60"/>
      <c r="F40" s="58" t="str">
        <f>IF(F37="","",F37)</f>
        <v>JJ Meakings</v>
      </c>
      <c r="G40" s="60"/>
      <c r="H40" s="75"/>
      <c r="I40" s="47"/>
      <c r="J40" s="44" t="str">
        <f>IF(H40="","Not Started","Final")</f>
        <v>Not Started</v>
      </c>
      <c r="K40" s="45">
        <f>IF(H40="Red",C40,IF(H40="Tied",C40/2,0))</f>
        <v>0</v>
      </c>
      <c r="L40" s="45">
        <f>IF(H40="Navy",C40,IF(H40="Tied",C40/2,0))</f>
        <v>0</v>
      </c>
      <c r="M40" s="45" t="s">
        <v>61</v>
      </c>
    </row>
    <row r="41" spans="1:13" ht="6" customHeight="1">
      <c r="A41" s="21"/>
      <c r="B41" s="40"/>
      <c r="C41" s="40"/>
      <c r="D41" s="53"/>
      <c r="E41" s="59"/>
      <c r="F41" s="53"/>
      <c r="G41" s="59"/>
      <c r="H41" s="79"/>
      <c r="I41" s="39"/>
      <c r="J41" s="39"/>
      <c r="K41" s="43"/>
      <c r="L41" s="43"/>
      <c r="M41" s="43"/>
    </row>
    <row r="42" spans="1:13" ht="20.100000000000001" customHeight="1">
      <c r="A42" s="66" t="s">
        <v>62</v>
      </c>
      <c r="B42" s="66" t="s">
        <v>40</v>
      </c>
      <c r="C42" s="66">
        <v>6</v>
      </c>
      <c r="D42" s="67" t="s">
        <v>41</v>
      </c>
      <c r="E42" s="66"/>
      <c r="F42" s="68" t="s">
        <v>606</v>
      </c>
      <c r="G42" s="66"/>
      <c r="H42" s="77"/>
      <c r="I42" s="66"/>
      <c r="J42" s="66" t="str">
        <f>IF(COUNTA(H43:H45)=0,"Not Started",IF(COUNTA(H43:H45)&lt;3,"In Progress","Final"))</f>
        <v>Not Started</v>
      </c>
      <c r="K42" s="69">
        <f>SUM(K43:K45)</f>
        <v>0</v>
      </c>
      <c r="L42" s="69">
        <f>SUM(L43:L45)</f>
        <v>0</v>
      </c>
      <c r="M42" s="69" t="s">
        <v>63</v>
      </c>
    </row>
    <row r="43" spans="1:13" ht="20.100000000000001" customHeight="1">
      <c r="A43" s="20"/>
      <c r="B43" s="64" t="s">
        <v>17</v>
      </c>
      <c r="C43" s="40">
        <v>1</v>
      </c>
      <c r="D43" s="55" t="str">
        <f>IF(D42="","",D42)</f>
        <v>Kevin Catliff</v>
      </c>
      <c r="E43" s="59"/>
      <c r="F43" s="56" t="str">
        <f>IF(F42="","",F42)</f>
        <v>Steve Wells</v>
      </c>
      <c r="G43" s="59"/>
      <c r="H43" s="73"/>
      <c r="J43" s="39" t="str">
        <f>IF(H43="","Not Started","Final")</f>
        <v>Not Started</v>
      </c>
      <c r="K43" s="43">
        <f>IF(H43="Red",C43,IF(H43="Tied",C43/2,0))</f>
        <v>0</v>
      </c>
      <c r="L43" s="43">
        <f>IF(H43="Navy",C43,IF(H43="Tied",C43/2,0))</f>
        <v>0</v>
      </c>
      <c r="M43" s="43" t="s">
        <v>64</v>
      </c>
    </row>
    <row r="44" spans="1:13" ht="20.100000000000001" customHeight="1">
      <c r="A44" s="20"/>
      <c r="B44" s="64" t="s">
        <v>19</v>
      </c>
      <c r="C44" s="40">
        <v>1</v>
      </c>
      <c r="D44" s="55" t="str">
        <f>IF(D42="","",D42)</f>
        <v>Kevin Catliff</v>
      </c>
      <c r="E44" s="59"/>
      <c r="F44" s="56" t="str">
        <f>IF(F42="","",F42)</f>
        <v>Steve Wells</v>
      </c>
      <c r="G44" s="59"/>
      <c r="H44" s="74"/>
      <c r="J44" s="39" t="str">
        <f>IF(H44="","Not Started","Final")</f>
        <v>Not Started</v>
      </c>
      <c r="K44" s="43">
        <f>IF(H44="Red",C44,IF(H44="Tied",C44/2,0))</f>
        <v>0</v>
      </c>
      <c r="L44" s="43">
        <f>IF(H44="Navy",C44,IF(H44="Tied",C44/2,0))</f>
        <v>0</v>
      </c>
      <c r="M44" s="43" t="s">
        <v>65</v>
      </c>
    </row>
    <row r="45" spans="1:13" ht="20.100000000000001" customHeight="1">
      <c r="A45" s="42"/>
      <c r="B45" s="41" t="s">
        <v>21</v>
      </c>
      <c r="C45" s="41">
        <v>2</v>
      </c>
      <c r="D45" s="57" t="str">
        <f>IF(D42="","",D42)</f>
        <v>Kevin Catliff</v>
      </c>
      <c r="E45" s="60"/>
      <c r="F45" s="58" t="str">
        <f>IF(F42="","",F42)</f>
        <v>Steve Wells</v>
      </c>
      <c r="G45" s="60"/>
      <c r="H45" s="75"/>
      <c r="I45" s="47"/>
      <c r="J45" s="44" t="str">
        <f>IF(H45="","Not Started","Final")</f>
        <v>Not Started</v>
      </c>
      <c r="K45" s="45">
        <f>IF(H45="Red",C45,IF(H45="Tied",C45/2,0))</f>
        <v>0</v>
      </c>
      <c r="L45" s="45">
        <f>IF(H45="Navy",C45,IF(H45="Tied",C45/2,0))</f>
        <v>0</v>
      </c>
      <c r="M45" s="45" t="s">
        <v>66</v>
      </c>
    </row>
    <row r="46" spans="1:13" ht="6" customHeight="1">
      <c r="A46" s="21"/>
      <c r="B46" s="40"/>
      <c r="C46" s="40"/>
      <c r="D46" s="53"/>
      <c r="E46" s="59"/>
      <c r="F46" s="53"/>
      <c r="G46" s="59"/>
      <c r="H46" s="79"/>
      <c r="I46" s="39"/>
      <c r="J46" s="39"/>
      <c r="K46" s="43"/>
      <c r="L46" s="43"/>
      <c r="M46" s="43"/>
    </row>
    <row r="47" spans="1:13" ht="20.100000000000001" customHeight="1">
      <c r="A47" s="66" t="s">
        <v>67</v>
      </c>
      <c r="B47" s="66" t="s">
        <v>40</v>
      </c>
      <c r="C47" s="66">
        <v>6</v>
      </c>
      <c r="D47" s="67" t="s">
        <v>50</v>
      </c>
      <c r="E47" s="66"/>
      <c r="F47" s="68" t="s">
        <v>52</v>
      </c>
      <c r="G47" s="66"/>
      <c r="H47" s="77"/>
      <c r="I47" s="66"/>
      <c r="J47" s="66" t="str">
        <f>IF(COUNTA(H48:H50)=0,"Not Started",IF(COUNTA(H48:H50)&lt;3,"In Progress","Final"))</f>
        <v>Not Started</v>
      </c>
      <c r="K47" s="69">
        <f>SUM(K48:K50)</f>
        <v>0</v>
      </c>
      <c r="L47" s="69">
        <f>SUM(L48:L50)</f>
        <v>0</v>
      </c>
      <c r="M47" s="69" t="s">
        <v>68</v>
      </c>
    </row>
    <row r="48" spans="1:13" ht="20.100000000000001" customHeight="1">
      <c r="A48" s="20"/>
      <c r="B48" s="64" t="s">
        <v>17</v>
      </c>
      <c r="C48" s="40">
        <v>1</v>
      </c>
      <c r="D48" s="55" t="str">
        <f>IF(D47="","",D47)</f>
        <v>Sean Bromley</v>
      </c>
      <c r="E48" s="59"/>
      <c r="F48" s="56" t="str">
        <f>IF(F47="","",F47)</f>
        <v>George Collister</v>
      </c>
      <c r="G48" s="59"/>
      <c r="H48" s="73"/>
      <c r="J48" s="39" t="str">
        <f>IF(H48="","Not Started","Final")</f>
        <v>Not Started</v>
      </c>
      <c r="K48" s="43">
        <f>IF(H48="Red",C48,IF(H48="Tied",C48/2,0))</f>
        <v>0</v>
      </c>
      <c r="L48" s="43">
        <f>IF(H48="Navy",C48,IF(H48="Tied",C48/2,0))</f>
        <v>0</v>
      </c>
      <c r="M48" s="43" t="s">
        <v>69</v>
      </c>
    </row>
    <row r="49" spans="1:14" ht="20.100000000000001" customHeight="1">
      <c r="A49" s="20"/>
      <c r="B49" s="64" t="s">
        <v>19</v>
      </c>
      <c r="C49" s="40">
        <v>1</v>
      </c>
      <c r="D49" s="55" t="str">
        <f>IF(D47="","",D47)</f>
        <v>Sean Bromley</v>
      </c>
      <c r="E49" s="59"/>
      <c r="F49" s="56" t="str">
        <f>IF(F47="","",F47)</f>
        <v>George Collister</v>
      </c>
      <c r="G49" s="59"/>
      <c r="H49" s="74"/>
      <c r="J49" s="39" t="str">
        <f>IF(H49="","Not Started","Final")</f>
        <v>Not Started</v>
      </c>
      <c r="K49" s="43">
        <f>IF(H49="Red",C49,IF(H49="Tied",C49/2,0))</f>
        <v>0</v>
      </c>
      <c r="L49" s="43">
        <f>IF(H49="Navy",C49,IF(H49="Tied",C49/2,0))</f>
        <v>0</v>
      </c>
      <c r="M49" s="43" t="s">
        <v>70</v>
      </c>
    </row>
    <row r="50" spans="1:14" ht="20.100000000000001" customHeight="1">
      <c r="A50" s="65"/>
      <c r="B50" s="41" t="s">
        <v>21</v>
      </c>
      <c r="C50" s="41">
        <v>2</v>
      </c>
      <c r="D50" s="57" t="str">
        <f>IF(D47="","",D47)</f>
        <v>Sean Bromley</v>
      </c>
      <c r="E50" s="60"/>
      <c r="F50" s="58" t="str">
        <f>IF(F47="","",F47)</f>
        <v>George Collister</v>
      </c>
      <c r="G50" s="60"/>
      <c r="H50" s="75"/>
      <c r="I50" s="47"/>
      <c r="J50" s="44" t="str">
        <f>IF(H50="","Not Started","Final")</f>
        <v>Not Started</v>
      </c>
      <c r="K50" s="45">
        <f>IF(H50="Red",C50,IF(H50="Tied",C50/2,0))</f>
        <v>0</v>
      </c>
      <c r="L50" s="45">
        <f>IF(H50="Navy",C50,IF(H50="Tied",C50/2,0))</f>
        <v>0</v>
      </c>
      <c r="M50" s="45" t="s">
        <v>71</v>
      </c>
    </row>
    <row r="51" spans="1:14" ht="6" customHeight="1">
      <c r="A51" s="21"/>
      <c r="B51" s="40"/>
      <c r="C51" s="40"/>
      <c r="D51" s="53"/>
      <c r="E51" s="59"/>
      <c r="F51" s="53"/>
      <c r="G51" s="59"/>
      <c r="H51" s="79"/>
      <c r="I51" s="39"/>
      <c r="J51" s="39"/>
      <c r="K51" s="43"/>
      <c r="L51" s="43"/>
      <c r="M51" s="43"/>
    </row>
    <row r="52" spans="1:14" ht="20.100000000000001" customHeight="1">
      <c r="A52" s="66" t="s">
        <v>72</v>
      </c>
      <c r="B52" s="66" t="s">
        <v>40</v>
      </c>
      <c r="C52" s="66">
        <v>6</v>
      </c>
      <c r="D52" s="67" t="s">
        <v>51</v>
      </c>
      <c r="E52" s="66"/>
      <c r="F52" s="68" t="s">
        <v>44</v>
      </c>
      <c r="G52" s="66"/>
      <c r="H52" s="77"/>
      <c r="I52" s="66"/>
      <c r="J52" s="66" t="str">
        <f>IF(COUNTA(H53:H55)=0,"Not Started",IF(COUNTA(H53:H55)&lt;3,"In Progress","Final"))</f>
        <v>Not Started</v>
      </c>
      <c r="K52" s="69">
        <f>SUM(K53:K55)</f>
        <v>0</v>
      </c>
      <c r="L52" s="69">
        <f>SUM(L53:L55)</f>
        <v>0</v>
      </c>
      <c r="M52" s="69" t="s">
        <v>73</v>
      </c>
    </row>
    <row r="53" spans="1:14" ht="20.100000000000001" customHeight="1">
      <c r="A53" s="21"/>
      <c r="B53" s="64" t="s">
        <v>17</v>
      </c>
      <c r="C53" s="40">
        <v>1</v>
      </c>
      <c r="D53" s="55" t="str">
        <f>IF(D52="","",D52)</f>
        <v>Dylan Bradley</v>
      </c>
      <c r="E53" s="59"/>
      <c r="F53" s="56" t="str">
        <f>IF(F52="","",F52)</f>
        <v>Eric Bleim</v>
      </c>
      <c r="G53" s="59"/>
      <c r="H53" s="73"/>
      <c r="I53" s="38"/>
      <c r="J53" s="53" t="str">
        <f>IF(H53="","Not Started","Final")</f>
        <v>Not Started</v>
      </c>
      <c r="K53" s="46">
        <f>IF(H53="Red",C53,IF(H53="Tied",C53/2,0))</f>
        <v>0</v>
      </c>
      <c r="L53" s="46">
        <f>IF(H53="Navy",C53,IF(H53="Tied",C53/2,0))</f>
        <v>0</v>
      </c>
      <c r="M53" s="43" t="s">
        <v>74</v>
      </c>
    </row>
    <row r="54" spans="1:14" ht="20.100000000000001" customHeight="1">
      <c r="A54" s="20"/>
      <c r="B54" s="64" t="s">
        <v>19</v>
      </c>
      <c r="C54" s="40">
        <v>1</v>
      </c>
      <c r="D54" s="55" t="str">
        <f>IF(D52="","",D52)</f>
        <v>Dylan Bradley</v>
      </c>
      <c r="E54" s="59"/>
      <c r="F54" s="56" t="str">
        <f>IF(F52="","",F52)</f>
        <v>Eric Bleim</v>
      </c>
      <c r="G54" s="59"/>
      <c r="H54" s="74"/>
      <c r="I54" s="38"/>
      <c r="J54" s="53" t="str">
        <f>IF(H54="","Not Started","Final")</f>
        <v>Not Started</v>
      </c>
      <c r="K54" s="46">
        <f>IF(H54="Red",C54,IF(H54="Tied",C54/2,0))</f>
        <v>0</v>
      </c>
      <c r="L54" s="46">
        <f>IF(H54="Navy",C54,IF(H54="Tied",C54/2,0))</f>
        <v>0</v>
      </c>
      <c r="M54" s="43" t="s">
        <v>75</v>
      </c>
    </row>
    <row r="55" spans="1:14" ht="20.100000000000001" customHeight="1">
      <c r="A55" s="48"/>
      <c r="B55" s="49" t="s">
        <v>21</v>
      </c>
      <c r="C55" s="49">
        <v>2</v>
      </c>
      <c r="D55" s="61" t="str">
        <f>IF(D52="","",D52)</f>
        <v>Dylan Bradley</v>
      </c>
      <c r="E55" s="62"/>
      <c r="F55" s="63" t="str">
        <f>IF(F52="","",F52)</f>
        <v>Eric Bleim</v>
      </c>
      <c r="G55" s="62"/>
      <c r="H55" s="76"/>
      <c r="I55" s="50"/>
      <c r="J55" s="54" t="str">
        <f>IF(H55="","Not Started","Final")</f>
        <v>Not Started</v>
      </c>
      <c r="K55" s="51">
        <f>IF(H55="Red",C55,IF(H55="Tied",C55/2,0))</f>
        <v>0</v>
      </c>
      <c r="L55" s="51">
        <f>IF(H55="Navy",C55,IF(H55="Tied",C55/2,0))</f>
        <v>0</v>
      </c>
      <c r="M55" s="52" t="s">
        <v>76</v>
      </c>
    </row>
    <row r="56" spans="1:14" ht="21.95" customHeight="1">
      <c r="A56" s="18"/>
      <c r="B56" s="18"/>
      <c r="C56" s="24"/>
      <c r="D56" s="24"/>
      <c r="E56" s="24"/>
      <c r="F56" s="24"/>
      <c r="G56" s="24"/>
      <c r="H56" s="34"/>
      <c r="I56" s="18"/>
      <c r="J56" s="32"/>
      <c r="K56" s="32"/>
      <c r="L56" s="32"/>
      <c r="M56" s="32"/>
      <c r="N56" s="32"/>
    </row>
    <row r="57" spans="1:14" ht="21.95" customHeight="1">
      <c r="A57" s="18"/>
      <c r="B57" s="18"/>
      <c r="C57" s="24"/>
      <c r="D57" s="24"/>
      <c r="E57" s="24"/>
      <c r="F57" s="24"/>
      <c r="G57" s="24"/>
      <c r="H57" s="34"/>
      <c r="I57" s="18"/>
      <c r="J57" s="32"/>
      <c r="K57" s="32"/>
      <c r="L57" s="32"/>
      <c r="M57" s="32"/>
      <c r="N57" s="32"/>
    </row>
    <row r="58" spans="1:14" ht="21.95" customHeight="1">
      <c r="A58" s="191" t="s">
        <v>77</v>
      </c>
      <c r="B58" s="191"/>
      <c r="C58" s="192"/>
      <c r="D58" s="192"/>
      <c r="E58" s="192"/>
      <c r="F58" s="192"/>
      <c r="G58" s="192"/>
      <c r="H58" s="193"/>
      <c r="I58" s="10"/>
      <c r="J58" s="194" t="s">
        <v>78</v>
      </c>
      <c r="K58" s="194"/>
      <c r="L58" s="194"/>
      <c r="M58" s="194"/>
      <c r="N58" s="194"/>
    </row>
    <row r="59" spans="1:14" ht="21.95" customHeight="1">
      <c r="A59" s="12" t="s">
        <v>79</v>
      </c>
      <c r="B59" s="12" t="s">
        <v>80</v>
      </c>
      <c r="C59" s="27" t="s">
        <v>81</v>
      </c>
      <c r="D59" s="27" t="s">
        <v>82</v>
      </c>
      <c r="E59" s="27" t="s">
        <v>83</v>
      </c>
      <c r="F59" s="27" t="s">
        <v>84</v>
      </c>
      <c r="G59" s="27" t="s">
        <v>85</v>
      </c>
      <c r="H59" s="28" t="s">
        <v>86</v>
      </c>
      <c r="I59" s="10"/>
      <c r="J59" s="194"/>
      <c r="K59" s="194"/>
      <c r="L59" s="194"/>
      <c r="M59" s="194"/>
      <c r="N59" s="194"/>
    </row>
    <row r="60" spans="1:14" ht="17.25" customHeight="1">
      <c r="A60" s="18" t="s">
        <v>42</v>
      </c>
      <c r="B60" s="26" t="s">
        <v>87</v>
      </c>
      <c r="C60" s="24">
        <f t="shared" ref="C60:C67" si="3">COUNTIF($D$15:$D$22,"&lt;&gt;")+SUMPRODUCT(--($H$28:$H$55&lt;&gt;""),--((($D$28:$D$55=$A60)+($E$28:$E$55=$A60)+($F$28:$F$55=$A60)+($G$28:$G$55=$A60))&gt;0))</f>
        <v>0</v>
      </c>
      <c r="D60" s="24">
        <f t="shared" ref="D60:D66" si="4">COUNTIF($D$15:$D$22,$B60)+SUMPRODUCT(--($H$28:$H$55=$B60),--((($D$28:$D$55=$A60)+($E$28:$E$55=$A60)+($F$28:$F$55=$A60)+($G$28:$G$55=$A60))&gt;0))</f>
        <v>0</v>
      </c>
      <c r="E60" s="24">
        <f t="shared" ref="E60:E67" si="5">COUNTIF($D$15:$D$22,IF($B60="Red","Navy","Red"))+SUMPRODUCT(--($H$28:$H$55=IF($B60="Red","Navy","Red")),--((($D$28:$D$55=$A60)+($E$28:$E$55=$A60)+($F$28:$F$55=$A60)+($G$28:$G$55=$A60))&gt;0))</f>
        <v>0</v>
      </c>
      <c r="F60" s="24">
        <f t="shared" ref="F60:F67" si="6">COUNTIF($D$15:$D$22,"Tied")+SUMPRODUCT(--($H$28:$H$55="Tied"),--((($D$28:$D$55=$A60)+($E$28:$E$55=$A60)+($F$28:$F$55=$A60)+($G$28:$G$55=$A60))&gt;0))</f>
        <v>0</v>
      </c>
      <c r="G60" s="24">
        <f>SUM($G$15:$G$22)+SUMPRODUCT($K$28:$K$55,--((($D$28:$D$55=$A60)+($E$28:$E$55=$A60)+($F$28:$F$55=$A60)+($G$28:$G$55=$A60))&gt;0))</f>
        <v>0</v>
      </c>
      <c r="H60" s="34">
        <f t="shared" ref="H60:H67" si="7">IF(C60=0,0,(D60+F60/2)/C60)</f>
        <v>0</v>
      </c>
      <c r="I60" s="10"/>
      <c r="J60" s="194"/>
      <c r="K60" s="194"/>
      <c r="L60" s="194"/>
      <c r="M60" s="194"/>
      <c r="N60" s="194"/>
    </row>
    <row r="61" spans="1:14" ht="17.25" customHeight="1">
      <c r="A61" s="18" t="s">
        <v>41</v>
      </c>
      <c r="B61" s="26" t="s">
        <v>87</v>
      </c>
      <c r="C61" s="24">
        <f t="shared" si="3"/>
        <v>0</v>
      </c>
      <c r="D61" s="24">
        <f t="shared" si="4"/>
        <v>0</v>
      </c>
      <c r="E61" s="24">
        <f t="shared" si="5"/>
        <v>0</v>
      </c>
      <c r="F61" s="24">
        <f t="shared" si="6"/>
        <v>0</v>
      </c>
      <c r="G61" s="24">
        <f>SUM($G$15:$G$22)+SUMPRODUCT($K$28:$K$55,--((($D$28:$D$55=$A61)+($E$28:$E$55=$A61)+($F$28:$F$55=$A61)+($G$28:$G$55=$A61))&gt;0))</f>
        <v>0</v>
      </c>
      <c r="H61" s="34">
        <f t="shared" si="7"/>
        <v>0</v>
      </c>
      <c r="I61" s="10"/>
      <c r="J61" s="194"/>
      <c r="K61" s="194"/>
      <c r="L61" s="194"/>
      <c r="M61" s="194"/>
      <c r="N61" s="194"/>
    </row>
    <row r="62" spans="1:14" ht="17.25" customHeight="1">
      <c r="A62" s="18" t="s">
        <v>50</v>
      </c>
      <c r="B62" s="26" t="s">
        <v>87</v>
      </c>
      <c r="C62" s="24">
        <f t="shared" si="3"/>
        <v>0</v>
      </c>
      <c r="D62" s="24">
        <f t="shared" si="4"/>
        <v>0</v>
      </c>
      <c r="E62" s="24">
        <f t="shared" si="5"/>
        <v>0</v>
      </c>
      <c r="F62" s="24">
        <f t="shared" si="6"/>
        <v>0</v>
      </c>
      <c r="G62" s="24">
        <f>SUM($G$15:$G$22)+SUMPRODUCT($K$28:$K$55,--((($D$28:$D$55=$A62)+($E$28:$E$55=$A62)+($F$28:$F$55=$A62)+($G$28:$G$55=$A62))&gt;0))</f>
        <v>0</v>
      </c>
      <c r="H62" s="34">
        <f t="shared" si="7"/>
        <v>0</v>
      </c>
      <c r="I62" s="10"/>
      <c r="J62" s="194"/>
      <c r="K62" s="194"/>
      <c r="L62" s="194"/>
      <c r="M62" s="194"/>
      <c r="N62" s="194"/>
    </row>
    <row r="63" spans="1:14" ht="17.25" customHeight="1">
      <c r="A63" s="18" t="s">
        <v>51</v>
      </c>
      <c r="B63" s="26" t="s">
        <v>87</v>
      </c>
      <c r="C63" s="24">
        <f t="shared" si="3"/>
        <v>0</v>
      </c>
      <c r="D63" s="24">
        <f t="shared" si="4"/>
        <v>0</v>
      </c>
      <c r="E63" s="24">
        <f t="shared" si="5"/>
        <v>0</v>
      </c>
      <c r="F63" s="24">
        <f t="shared" si="6"/>
        <v>0</v>
      </c>
      <c r="G63" s="24">
        <f>SUM($G$15:$G$22)+SUMPRODUCT($K$28:$K$55,--((($D$28:$D$55=$A63)+($E$28:$E$55=$A63)+($F$28:$F$55=$A63)+($G$28:$G$55=$A63))&gt;0))</f>
        <v>0</v>
      </c>
      <c r="H63" s="34">
        <f t="shared" si="7"/>
        <v>0</v>
      </c>
      <c r="I63" s="10"/>
      <c r="J63" s="194"/>
      <c r="K63" s="194"/>
      <c r="L63" s="194"/>
      <c r="M63" s="194"/>
      <c r="N63" s="194"/>
    </row>
    <row r="64" spans="1:14" ht="17.25" customHeight="1">
      <c r="A64" s="18" t="s">
        <v>44</v>
      </c>
      <c r="B64" s="36" t="s">
        <v>88</v>
      </c>
      <c r="C64" s="18">
        <f t="shared" si="3"/>
        <v>0</v>
      </c>
      <c r="D64" s="18">
        <f t="shared" si="4"/>
        <v>0</v>
      </c>
      <c r="E64" s="18">
        <f t="shared" si="5"/>
        <v>0</v>
      </c>
      <c r="F64" s="18">
        <f t="shared" si="6"/>
        <v>0</v>
      </c>
      <c r="G64" s="24">
        <f>SUM($H$15:$H$22)+SUMPRODUCT($L$28:$L$55,--((($D$28:$D$55=$A64)+($E$28:$E$55=$A64)+($F$28:$F$55=$A64)+($G$28:$G$55=$A64))&gt;0))</f>
        <v>0</v>
      </c>
      <c r="H64" s="34">
        <f t="shared" si="7"/>
        <v>0</v>
      </c>
      <c r="I64" s="10"/>
      <c r="J64" s="194"/>
      <c r="K64" s="194"/>
      <c r="L64" s="194"/>
      <c r="M64" s="194"/>
      <c r="N64" s="194"/>
    </row>
    <row r="65" spans="1:14" ht="17.25" customHeight="1">
      <c r="A65" s="18" t="s">
        <v>52</v>
      </c>
      <c r="B65" s="36" t="s">
        <v>88</v>
      </c>
      <c r="C65" s="18">
        <f t="shared" si="3"/>
        <v>0</v>
      </c>
      <c r="D65" s="18">
        <f t="shared" si="4"/>
        <v>0</v>
      </c>
      <c r="E65" s="18">
        <f t="shared" si="5"/>
        <v>0</v>
      </c>
      <c r="F65" s="18">
        <f t="shared" si="6"/>
        <v>0</v>
      </c>
      <c r="G65" s="24">
        <f>SUM($H$15:$H$22)+SUMPRODUCT($L$28:$L$55,--((($D$28:$D$55=$A65)+($E$28:$E$55=$A65)+($F$28:$F$55=$A65)+($G$28:$G$55=$A65))&gt;0))</f>
        <v>0</v>
      </c>
      <c r="H65" s="34">
        <f t="shared" si="7"/>
        <v>0</v>
      </c>
      <c r="I65" s="10"/>
      <c r="J65" s="194"/>
      <c r="K65" s="194"/>
      <c r="L65" s="194"/>
      <c r="M65" s="194"/>
      <c r="N65" s="194"/>
    </row>
    <row r="66" spans="1:14" ht="17.25" customHeight="1">
      <c r="A66" s="18" t="s">
        <v>606</v>
      </c>
      <c r="B66" s="36" t="s">
        <v>88</v>
      </c>
      <c r="C66" s="18">
        <f t="shared" si="3"/>
        <v>0</v>
      </c>
      <c r="D66" s="18">
        <f t="shared" si="4"/>
        <v>0</v>
      </c>
      <c r="E66" s="18">
        <f t="shared" si="5"/>
        <v>0</v>
      </c>
      <c r="F66" s="18">
        <f t="shared" si="6"/>
        <v>0</v>
      </c>
      <c r="G66" s="24">
        <f>SUM($H$15:$H$22)+SUMPRODUCT($L$28:$L$55,--((($D$28:$D$55=$A66)+($E$28:$E$55=$A66)+($F$28:$F$55=$A66)+($G$28:$G$55=$A66))&gt;0))</f>
        <v>0</v>
      </c>
      <c r="H66" s="34">
        <f t="shared" si="7"/>
        <v>0</v>
      </c>
      <c r="I66" s="10"/>
      <c r="J66" s="194"/>
      <c r="K66" s="194"/>
      <c r="L66" s="194"/>
      <c r="M66" s="194"/>
      <c r="N66" s="194"/>
    </row>
    <row r="67" spans="1:14" ht="17.25" customHeight="1">
      <c r="A67" s="23" t="s">
        <v>43</v>
      </c>
      <c r="B67" s="37" t="s">
        <v>88</v>
      </c>
      <c r="C67" s="23">
        <f t="shared" si="3"/>
        <v>0</v>
      </c>
      <c r="D67" s="23">
        <f t="array" ref="D67">COUNTIF($D$15:$D$22,$B67)+SUMPRODUCT(--($H$28:$H$55=$B67),--((($D$28:$D$55=$A67)+($E$28:$E$55=$A67)+($F$28:$F$55=$A67)+($G$28:$G$55=$A67))&gt;0))</f>
        <v>0</v>
      </c>
      <c r="E67" s="23">
        <f t="shared" si="5"/>
        <v>0</v>
      </c>
      <c r="F67" s="23">
        <f t="shared" si="6"/>
        <v>0</v>
      </c>
      <c r="G67" s="25">
        <f>SUM($H$15:$H$22)+SUMPRODUCT($L$28:$L$55,--((($D$28:$D$55=$A67)+($E$28:$E$55=$A67)+($F$28:$F$55=$A67)+($G$28:$G$55=$A67))&gt;0))</f>
        <v>0</v>
      </c>
      <c r="H67" s="35">
        <f t="shared" si="7"/>
        <v>0</v>
      </c>
      <c r="I67" s="10"/>
      <c r="J67" s="194"/>
      <c r="K67" s="194"/>
      <c r="L67" s="194"/>
      <c r="M67" s="194"/>
      <c r="N67" s="194"/>
    </row>
    <row r="68" spans="1:14" ht="13.5">
      <c r="A68" s="10"/>
      <c r="B68" s="10"/>
      <c r="C68" s="10"/>
      <c r="D68" s="10"/>
      <c r="E68" s="10"/>
      <c r="F68" s="10"/>
      <c r="G68" s="10"/>
      <c r="H68" s="10"/>
      <c r="I68" s="10"/>
      <c r="J68" s="10"/>
      <c r="K68" s="10"/>
      <c r="L68" s="10"/>
      <c r="M68" s="10"/>
      <c r="N68" s="10"/>
    </row>
    <row r="69" spans="1:14" ht="13.5">
      <c r="A69" s="10"/>
      <c r="B69" s="10"/>
      <c r="C69" s="10"/>
      <c r="D69" s="10"/>
      <c r="E69" s="10"/>
      <c r="F69" s="10"/>
      <c r="G69" s="10"/>
      <c r="H69" s="10"/>
      <c r="I69" s="10"/>
      <c r="J69" s="10"/>
      <c r="K69" s="10"/>
      <c r="L69" s="10"/>
      <c r="M69" s="10"/>
      <c r="N69" s="10"/>
    </row>
    <row r="70" spans="1:14" ht="13.5">
      <c r="A70" s="10"/>
      <c r="B70" s="10"/>
      <c r="C70" s="10"/>
      <c r="D70" s="10"/>
      <c r="E70" s="10"/>
      <c r="F70" s="10"/>
      <c r="G70" s="10"/>
      <c r="H70" s="10"/>
      <c r="I70" s="10"/>
      <c r="J70" s="10"/>
      <c r="K70" s="10"/>
      <c r="L70" s="10"/>
      <c r="M70" s="10"/>
      <c r="N70" s="10"/>
    </row>
    <row r="71" spans="1:14" ht="13.5">
      <c r="A71" s="10"/>
      <c r="B71" s="10"/>
      <c r="C71" s="10"/>
      <c r="D71" s="10"/>
      <c r="E71" s="10"/>
      <c r="F71" s="10"/>
      <c r="G71" s="10"/>
      <c r="H71" s="10"/>
      <c r="I71" s="10"/>
      <c r="J71" s="10"/>
      <c r="K71" s="10"/>
      <c r="L71" s="10"/>
      <c r="M71" s="10"/>
      <c r="N71" s="10"/>
    </row>
    <row r="72" spans="1:14" ht="13.5">
      <c r="A72" s="11"/>
      <c r="B72" s="11"/>
      <c r="C72" s="11"/>
      <c r="D72" s="11"/>
      <c r="E72" s="11"/>
      <c r="F72" s="11"/>
      <c r="G72" s="11"/>
      <c r="H72" s="11"/>
      <c r="I72" s="11"/>
      <c r="J72" s="11"/>
      <c r="K72" s="11"/>
      <c r="L72" s="11"/>
      <c r="M72" s="11"/>
      <c r="N72" s="11"/>
    </row>
    <row r="73" spans="1:14" ht="13.5">
      <c r="A73" s="11"/>
      <c r="B73" s="11"/>
      <c r="C73" s="11"/>
      <c r="D73" s="11"/>
      <c r="E73" s="11"/>
      <c r="F73" s="11"/>
      <c r="G73" s="11"/>
      <c r="H73" s="11"/>
      <c r="I73" s="11"/>
      <c r="J73" s="11"/>
      <c r="K73" s="11"/>
      <c r="L73" s="11"/>
      <c r="M73" s="11"/>
      <c r="N73" s="11"/>
    </row>
    <row r="74" spans="1:14" ht="13.5">
      <c r="A74" s="11"/>
      <c r="B74" s="11"/>
      <c r="C74" s="11"/>
      <c r="D74" s="11"/>
      <c r="E74" s="11"/>
      <c r="F74" s="11"/>
      <c r="G74" s="11"/>
      <c r="H74" s="11"/>
      <c r="I74" s="11"/>
      <c r="J74" s="11"/>
      <c r="K74" s="11"/>
      <c r="L74" s="11"/>
      <c r="M74" s="11"/>
      <c r="N74" s="11"/>
    </row>
    <row r="75" spans="1:14" ht="13.5">
      <c r="A75" s="11"/>
      <c r="B75" s="11"/>
      <c r="C75" s="11"/>
      <c r="D75" s="11"/>
      <c r="E75" s="11"/>
      <c r="F75" s="11"/>
      <c r="G75" s="11"/>
      <c r="H75" s="11"/>
      <c r="I75" s="11"/>
      <c r="J75" s="11"/>
      <c r="K75" s="11"/>
      <c r="L75" s="11"/>
      <c r="M75" s="11"/>
      <c r="N75" s="11"/>
    </row>
    <row r="76" spans="1:14" ht="13.5">
      <c r="A76" s="11"/>
      <c r="B76" s="11"/>
      <c r="C76" s="11"/>
      <c r="D76" s="11"/>
      <c r="E76" s="11"/>
      <c r="F76" s="11"/>
      <c r="G76" s="11"/>
      <c r="H76" s="11"/>
      <c r="I76" s="11"/>
      <c r="J76" s="11"/>
      <c r="K76" s="11"/>
      <c r="L76" s="11"/>
      <c r="M76" s="11"/>
      <c r="N76" s="11"/>
    </row>
    <row r="77" spans="1:14" ht="13.5">
      <c r="A77" s="11"/>
      <c r="B77" s="11"/>
      <c r="C77" s="11"/>
      <c r="D77" s="11"/>
      <c r="E77" s="11"/>
      <c r="F77" s="11"/>
      <c r="G77" s="11"/>
      <c r="H77" s="11"/>
      <c r="I77" s="11"/>
      <c r="J77" s="11"/>
      <c r="K77" s="11"/>
      <c r="L77" s="11"/>
      <c r="M77" s="11"/>
      <c r="N77" s="11"/>
    </row>
    <row r="78" spans="1:14" ht="13.5">
      <c r="A78" s="11"/>
      <c r="B78" s="11"/>
      <c r="C78" s="11"/>
      <c r="D78" s="11"/>
      <c r="E78" s="11"/>
      <c r="F78" s="11"/>
      <c r="G78" s="11"/>
      <c r="H78" s="11"/>
      <c r="I78" s="11"/>
      <c r="J78" s="11"/>
      <c r="K78" s="11"/>
      <c r="L78" s="11"/>
      <c r="M78" s="11"/>
      <c r="N78" s="11"/>
    </row>
    <row r="79" spans="1:14" ht="13.5">
      <c r="A79" s="11"/>
      <c r="B79" s="11"/>
      <c r="C79" s="11"/>
      <c r="D79" s="11"/>
      <c r="E79" s="11"/>
      <c r="F79" s="11"/>
      <c r="G79" s="11"/>
      <c r="H79" s="11"/>
      <c r="I79" s="11"/>
      <c r="J79" s="11"/>
      <c r="K79" s="11"/>
      <c r="L79" s="11"/>
      <c r="M79" s="11"/>
      <c r="N79" s="11"/>
    </row>
    <row r="80" spans="1:14" ht="13.5">
      <c r="A80" s="11"/>
      <c r="B80" s="11"/>
      <c r="C80" s="11"/>
      <c r="D80" s="11"/>
      <c r="E80" s="11"/>
      <c r="F80" s="11"/>
      <c r="G80" s="11"/>
      <c r="H80" s="11"/>
      <c r="I80" s="11"/>
      <c r="J80" s="11"/>
      <c r="K80" s="11"/>
      <c r="L80" s="11"/>
      <c r="M80" s="11"/>
      <c r="N80" s="11"/>
    </row>
    <row r="81" spans="1:14" ht="13.5">
      <c r="A81" s="11"/>
      <c r="B81" s="11"/>
      <c r="C81" s="11"/>
      <c r="D81" s="11"/>
      <c r="E81" s="11"/>
      <c r="F81" s="11"/>
      <c r="G81" s="11"/>
      <c r="H81" s="11"/>
      <c r="I81" s="11"/>
      <c r="J81" s="11"/>
      <c r="K81" s="11"/>
      <c r="L81" s="11"/>
      <c r="M81" s="11"/>
      <c r="N81" s="11"/>
    </row>
    <row r="82" spans="1:14" ht="13.5">
      <c r="A82" s="11"/>
      <c r="B82" s="11"/>
      <c r="C82" s="11"/>
      <c r="D82" s="11"/>
      <c r="E82" s="11"/>
      <c r="F82" s="11"/>
      <c r="G82" s="11"/>
      <c r="H82" s="11"/>
      <c r="I82" s="11"/>
      <c r="J82" s="11"/>
      <c r="K82" s="11"/>
      <c r="L82" s="11"/>
      <c r="M82" s="11"/>
      <c r="N82" s="11"/>
    </row>
    <row r="83" spans="1:14" ht="13.5">
      <c r="A83" s="11"/>
      <c r="B83" s="11"/>
      <c r="C83" s="11"/>
      <c r="D83" s="11"/>
      <c r="E83" s="11"/>
      <c r="F83" s="11"/>
      <c r="G83" s="11"/>
      <c r="H83" s="11"/>
      <c r="I83" s="11"/>
      <c r="J83" s="11"/>
      <c r="K83" s="11"/>
      <c r="L83" s="11"/>
      <c r="M83" s="11"/>
      <c r="N83" s="11"/>
    </row>
    <row r="84" spans="1:14" ht="13.5">
      <c r="A84" s="11"/>
      <c r="B84" s="11"/>
      <c r="C84" s="11"/>
      <c r="D84" s="11"/>
      <c r="E84" s="11"/>
      <c r="F84" s="11"/>
      <c r="G84" s="11"/>
      <c r="H84" s="11"/>
      <c r="I84" s="11"/>
      <c r="J84" s="11"/>
      <c r="K84" s="11"/>
      <c r="L84" s="11"/>
      <c r="M84" s="11"/>
      <c r="N84" s="11"/>
    </row>
    <row r="85" spans="1:14" ht="13.5">
      <c r="A85" s="11"/>
      <c r="B85" s="11"/>
      <c r="C85" s="11"/>
      <c r="D85" s="11"/>
      <c r="E85" s="11"/>
      <c r="F85" s="11"/>
      <c r="G85" s="11"/>
      <c r="H85" s="11"/>
      <c r="I85" s="11"/>
      <c r="J85" s="11"/>
      <c r="K85" s="11"/>
      <c r="L85" s="11"/>
      <c r="M85" s="11"/>
      <c r="N85" s="11"/>
    </row>
    <row r="86" spans="1:14" ht="13.5">
      <c r="A86" s="11"/>
      <c r="B86" s="11"/>
      <c r="C86" s="11"/>
      <c r="D86" s="11"/>
      <c r="E86" s="11"/>
      <c r="F86" s="11"/>
      <c r="G86" s="11"/>
      <c r="H86" s="11"/>
      <c r="I86" s="11"/>
      <c r="J86" s="11"/>
      <c r="K86" s="11"/>
      <c r="L86" s="11"/>
      <c r="M86" s="11"/>
      <c r="N86" s="11"/>
    </row>
    <row r="87" spans="1:14" ht="13.5">
      <c r="A87" s="11"/>
      <c r="B87" s="11"/>
      <c r="C87" s="11"/>
      <c r="D87" s="11"/>
      <c r="E87" s="11"/>
      <c r="F87" s="11"/>
      <c r="G87" s="11"/>
      <c r="H87" s="11"/>
      <c r="I87" s="11"/>
      <c r="J87" s="11"/>
      <c r="K87" s="11"/>
      <c r="L87" s="11"/>
      <c r="M87" s="11"/>
      <c r="N87" s="11"/>
    </row>
    <row r="88" spans="1:14" ht="13.5">
      <c r="A88" s="11"/>
      <c r="B88" s="11"/>
      <c r="C88" s="11"/>
      <c r="D88" s="11"/>
      <c r="E88" s="11"/>
      <c r="F88" s="11"/>
      <c r="G88" s="11"/>
      <c r="H88" s="11"/>
      <c r="I88" s="11"/>
      <c r="J88" s="11"/>
      <c r="K88" s="11"/>
      <c r="L88" s="11"/>
      <c r="M88" s="11"/>
      <c r="N88" s="11"/>
    </row>
    <row r="89" spans="1:14" ht="13.5">
      <c r="A89" s="11"/>
      <c r="B89" s="11"/>
      <c r="C89" s="11"/>
      <c r="D89" s="11"/>
      <c r="E89" s="11"/>
      <c r="F89" s="11"/>
      <c r="G89" s="11"/>
      <c r="H89" s="11"/>
      <c r="I89" s="11"/>
      <c r="J89" s="11"/>
      <c r="K89" s="11"/>
      <c r="L89" s="11"/>
      <c r="M89" s="11"/>
      <c r="N89" s="11"/>
    </row>
    <row r="90" spans="1:14" ht="13.5">
      <c r="A90" s="11"/>
      <c r="B90" s="11"/>
      <c r="C90" s="11"/>
      <c r="D90" s="11"/>
      <c r="E90" s="11"/>
      <c r="F90" s="11"/>
      <c r="G90" s="11"/>
      <c r="H90" s="11"/>
      <c r="I90" s="11"/>
      <c r="J90" s="11"/>
      <c r="K90" s="11"/>
      <c r="L90" s="11"/>
      <c r="M90" s="11"/>
      <c r="N90" s="11"/>
    </row>
    <row r="91" spans="1:14" ht="13.5">
      <c r="A91" s="11"/>
      <c r="B91" s="11"/>
      <c r="C91" s="11"/>
      <c r="D91" s="11"/>
      <c r="E91" s="11"/>
      <c r="F91" s="11"/>
      <c r="G91" s="11"/>
      <c r="H91" s="11"/>
      <c r="I91" s="11"/>
      <c r="J91" s="11"/>
      <c r="K91" s="11"/>
      <c r="L91" s="11"/>
      <c r="M91" s="11"/>
      <c r="N91" s="11"/>
    </row>
    <row r="92" spans="1:14" ht="13.5">
      <c r="A92" s="11"/>
      <c r="B92" s="11"/>
      <c r="C92" s="11"/>
      <c r="D92" s="11"/>
      <c r="E92" s="11"/>
      <c r="F92" s="11"/>
      <c r="G92" s="11"/>
      <c r="H92" s="11"/>
      <c r="I92" s="11"/>
      <c r="J92" s="11"/>
      <c r="K92" s="11"/>
      <c r="L92" s="11"/>
      <c r="M92" s="11"/>
      <c r="N92" s="11"/>
    </row>
    <row r="93" spans="1:14" ht="13.5">
      <c r="A93" s="11"/>
      <c r="B93" s="11"/>
      <c r="C93" s="11"/>
      <c r="D93" s="11"/>
      <c r="E93" s="11"/>
      <c r="F93" s="11"/>
      <c r="G93" s="11"/>
      <c r="H93" s="11"/>
      <c r="I93" s="11"/>
      <c r="J93" s="11"/>
      <c r="K93" s="11"/>
      <c r="L93" s="11"/>
      <c r="M93" s="11"/>
      <c r="N93" s="11"/>
    </row>
    <row r="94" spans="1:14" ht="13.5">
      <c r="A94" s="11"/>
      <c r="B94" s="11"/>
      <c r="C94" s="11"/>
      <c r="D94" s="11"/>
      <c r="E94" s="11"/>
      <c r="F94" s="11"/>
      <c r="G94" s="11"/>
      <c r="H94" s="11"/>
      <c r="I94" s="11"/>
      <c r="J94" s="11"/>
      <c r="K94" s="11"/>
      <c r="L94" s="11"/>
      <c r="M94" s="11"/>
      <c r="N94" s="11"/>
    </row>
    <row r="95" spans="1:14" ht="13.5">
      <c r="A95" s="11"/>
      <c r="B95" s="11"/>
      <c r="C95" s="11"/>
      <c r="D95" s="11"/>
      <c r="E95" s="11"/>
      <c r="F95" s="11"/>
      <c r="G95" s="11"/>
      <c r="H95" s="11"/>
      <c r="I95" s="11"/>
      <c r="J95" s="11"/>
      <c r="K95" s="11"/>
      <c r="L95" s="11"/>
      <c r="M95" s="11"/>
      <c r="N95" s="11"/>
    </row>
    <row r="96" spans="1:14" ht="13.5">
      <c r="A96" s="11"/>
      <c r="B96" s="11"/>
      <c r="C96" s="11"/>
      <c r="D96" s="11"/>
      <c r="E96" s="11"/>
      <c r="F96" s="11"/>
      <c r="G96" s="11"/>
      <c r="H96" s="11"/>
      <c r="I96" s="11"/>
      <c r="J96" s="11"/>
      <c r="K96" s="11"/>
      <c r="L96" s="11"/>
      <c r="M96" s="11"/>
      <c r="N96" s="11"/>
    </row>
    <row r="97" spans="1:14" ht="13.5">
      <c r="A97" s="11"/>
      <c r="B97" s="11"/>
      <c r="C97" s="11"/>
      <c r="D97" s="11"/>
      <c r="E97" s="11"/>
      <c r="F97" s="11"/>
      <c r="G97" s="11"/>
      <c r="H97" s="11"/>
      <c r="I97" s="11"/>
      <c r="J97" s="11"/>
      <c r="K97" s="11"/>
      <c r="L97" s="11"/>
      <c r="M97" s="11"/>
      <c r="N97" s="11"/>
    </row>
    <row r="98" spans="1:14" ht="13.5">
      <c r="A98" s="11"/>
      <c r="B98" s="11"/>
      <c r="C98" s="11"/>
      <c r="D98" s="11"/>
      <c r="E98" s="11"/>
      <c r="F98" s="11"/>
      <c r="G98" s="11"/>
      <c r="H98" s="11"/>
      <c r="I98" s="11"/>
      <c r="J98" s="11"/>
      <c r="K98" s="11"/>
      <c r="L98" s="11"/>
      <c r="M98" s="11"/>
      <c r="N98" s="11"/>
    </row>
    <row r="99" spans="1:14" ht="13.5">
      <c r="A99" s="11"/>
      <c r="B99" s="11"/>
      <c r="C99" s="11"/>
      <c r="D99" s="11"/>
      <c r="E99" s="11"/>
      <c r="F99" s="11"/>
      <c r="G99" s="11"/>
      <c r="H99" s="11"/>
      <c r="I99" s="11"/>
      <c r="J99" s="11"/>
      <c r="K99" s="11"/>
      <c r="L99" s="11"/>
      <c r="M99" s="11"/>
      <c r="N99" s="11"/>
    </row>
    <row r="100" spans="1:14" ht="13.5">
      <c r="A100" s="11"/>
      <c r="B100" s="11"/>
      <c r="C100" s="11"/>
      <c r="D100" s="11"/>
      <c r="E100" s="11"/>
      <c r="F100" s="11"/>
      <c r="G100" s="11"/>
      <c r="H100" s="11"/>
      <c r="I100" s="11"/>
      <c r="J100" s="11"/>
      <c r="K100" s="11"/>
      <c r="L100" s="11"/>
      <c r="M100" s="11"/>
      <c r="N100" s="11"/>
    </row>
    <row r="101" spans="1:14" ht="13.5">
      <c r="A101" s="11"/>
      <c r="B101" s="11"/>
      <c r="C101" s="11"/>
      <c r="D101" s="11"/>
      <c r="E101" s="11"/>
      <c r="F101" s="11"/>
      <c r="G101" s="11"/>
      <c r="H101" s="11"/>
      <c r="I101" s="11"/>
      <c r="J101" s="11"/>
      <c r="K101" s="11"/>
      <c r="L101" s="11"/>
      <c r="M101" s="11"/>
      <c r="N101" s="11"/>
    </row>
    <row r="102" spans="1:14" ht="13.5">
      <c r="A102" s="11"/>
      <c r="B102" s="11"/>
      <c r="C102" s="11"/>
      <c r="D102" s="11"/>
      <c r="E102" s="11"/>
      <c r="F102" s="11"/>
      <c r="G102" s="11"/>
      <c r="H102" s="11"/>
      <c r="I102" s="11"/>
      <c r="J102" s="11"/>
      <c r="K102" s="11"/>
      <c r="L102" s="11"/>
      <c r="M102" s="11"/>
      <c r="N102" s="11"/>
    </row>
    <row r="103" spans="1:14" ht="13.5">
      <c r="A103" s="11"/>
      <c r="B103" s="11"/>
      <c r="C103" s="11"/>
      <c r="D103" s="11"/>
      <c r="E103" s="11"/>
      <c r="F103" s="11"/>
      <c r="G103" s="11"/>
      <c r="H103" s="11"/>
      <c r="I103" s="11"/>
      <c r="J103" s="11"/>
      <c r="K103" s="11"/>
      <c r="L103" s="11"/>
      <c r="M103" s="11"/>
      <c r="N103" s="11"/>
    </row>
    <row r="104" spans="1:14" ht="13.5">
      <c r="A104" s="11"/>
      <c r="B104" s="11"/>
      <c r="C104" s="11"/>
      <c r="D104" s="11"/>
      <c r="E104" s="11"/>
      <c r="F104" s="11"/>
      <c r="G104" s="11"/>
      <c r="H104" s="11"/>
      <c r="I104" s="11"/>
      <c r="J104" s="11"/>
      <c r="K104" s="11"/>
      <c r="L104" s="11"/>
      <c r="M104" s="11"/>
      <c r="N104" s="11"/>
    </row>
    <row r="105" spans="1:14" ht="13.5">
      <c r="A105" s="11"/>
      <c r="B105" s="11"/>
      <c r="C105" s="11"/>
      <c r="D105" s="11"/>
      <c r="E105" s="11"/>
      <c r="F105" s="11"/>
      <c r="G105" s="11"/>
      <c r="H105" s="11"/>
      <c r="I105" s="11"/>
      <c r="J105" s="11"/>
      <c r="K105" s="11"/>
      <c r="L105" s="11"/>
      <c r="M105" s="11"/>
      <c r="N105" s="11"/>
    </row>
    <row r="106" spans="1:14" ht="13.5">
      <c r="A106" s="11"/>
      <c r="B106" s="11"/>
      <c r="C106" s="11"/>
      <c r="D106" s="11"/>
      <c r="E106" s="11"/>
      <c r="F106" s="11"/>
      <c r="G106" s="11"/>
      <c r="H106" s="11"/>
      <c r="I106" s="11"/>
      <c r="J106" s="11"/>
      <c r="K106" s="11"/>
      <c r="L106" s="11"/>
      <c r="M106" s="11"/>
      <c r="N106" s="11"/>
    </row>
  </sheetData>
  <mergeCells count="12">
    <mergeCell ref="A13:I13"/>
    <mergeCell ref="A25:M25"/>
    <mergeCell ref="A58:H58"/>
    <mergeCell ref="J58:N67"/>
    <mergeCell ref="A1:N2"/>
    <mergeCell ref="A6:F6"/>
    <mergeCell ref="I6:N6"/>
    <mergeCell ref="A7:F9"/>
    <mergeCell ref="I7:N9"/>
    <mergeCell ref="G6:H6"/>
    <mergeCell ref="G7:H8"/>
    <mergeCell ref="G9:H9"/>
  </mergeCells>
  <conditionalFormatting sqref="B56:B63">
    <cfRule type="expression" dxfId="158" priority="50">
      <formula>B56="Red"</formula>
    </cfRule>
    <cfRule type="expression" dxfId="157" priority="51">
      <formula>B56="Navy"</formula>
    </cfRule>
  </conditionalFormatting>
  <conditionalFormatting sqref="D15:D22">
    <cfRule type="containsText" dxfId="156" priority="1" operator="containsText" text="Navy">
      <formula>NOT(ISERROR(SEARCH("Navy",D15)))</formula>
    </cfRule>
    <cfRule type="containsText" dxfId="155" priority="2" operator="containsText" text="Tied">
      <formula>NOT(ISERROR(SEARCH("Tied",D15)))</formula>
    </cfRule>
    <cfRule type="containsText" dxfId="154" priority="3" operator="containsText" text="Red">
      <formula>NOT(ISERROR(SEARCH("Red",D15)))</formula>
    </cfRule>
  </conditionalFormatting>
  <conditionalFormatting sqref="H28:H30">
    <cfRule type="containsText" dxfId="153" priority="34" operator="containsText" text="Navy">
      <formula>NOT(ISERROR(SEARCH("Navy",H28)))</formula>
    </cfRule>
    <cfRule type="containsText" dxfId="152" priority="35" operator="containsText" text="Tied">
      <formula>NOT(ISERROR(SEARCH("Tied",H28)))</formula>
    </cfRule>
    <cfRule type="containsText" dxfId="151" priority="36" operator="containsText" text="Red">
      <formula>NOT(ISERROR(SEARCH("Red",H28)))</formula>
    </cfRule>
  </conditionalFormatting>
  <conditionalFormatting sqref="H33:H35">
    <cfRule type="containsText" dxfId="150" priority="16" operator="containsText" text="Navy">
      <formula>NOT(ISERROR(SEARCH("Navy",H33)))</formula>
    </cfRule>
    <cfRule type="containsText" dxfId="149" priority="17" operator="containsText" text="Tied">
      <formula>NOT(ISERROR(SEARCH("Tied",H33)))</formula>
    </cfRule>
    <cfRule type="containsText" dxfId="148" priority="18" operator="containsText" text="Red">
      <formula>NOT(ISERROR(SEARCH("Red",H33)))</formula>
    </cfRule>
  </conditionalFormatting>
  <conditionalFormatting sqref="H38:H40">
    <cfRule type="containsText" dxfId="147" priority="13" operator="containsText" text="Navy">
      <formula>NOT(ISERROR(SEARCH("Navy",H38)))</formula>
    </cfRule>
    <cfRule type="containsText" dxfId="146" priority="14" operator="containsText" text="Tied">
      <formula>NOT(ISERROR(SEARCH("Tied",H38)))</formula>
    </cfRule>
    <cfRule type="containsText" dxfId="145" priority="15" operator="containsText" text="Red">
      <formula>NOT(ISERROR(SEARCH("Red",H38)))</formula>
    </cfRule>
  </conditionalFormatting>
  <conditionalFormatting sqref="H43:H45">
    <cfRule type="containsText" dxfId="144" priority="10" operator="containsText" text="Navy">
      <formula>NOT(ISERROR(SEARCH("Navy",H43)))</formula>
    </cfRule>
    <cfRule type="containsText" dxfId="143" priority="11" operator="containsText" text="Tied">
      <formula>NOT(ISERROR(SEARCH("Tied",H43)))</formula>
    </cfRule>
    <cfRule type="containsText" dxfId="142" priority="12" operator="containsText" text="Red">
      <formula>NOT(ISERROR(SEARCH("Red",H43)))</formula>
    </cfRule>
  </conditionalFormatting>
  <conditionalFormatting sqref="H48:H50">
    <cfRule type="containsText" dxfId="141" priority="7" operator="containsText" text="Navy">
      <formula>NOT(ISERROR(SEARCH("Navy",H48)))</formula>
    </cfRule>
    <cfRule type="containsText" dxfId="140" priority="8" operator="containsText" text="Tied">
      <formula>NOT(ISERROR(SEARCH("Tied",H48)))</formula>
    </cfRule>
    <cfRule type="containsText" dxfId="139" priority="9" operator="containsText" text="Red">
      <formula>NOT(ISERROR(SEARCH("Red",H48)))</formula>
    </cfRule>
  </conditionalFormatting>
  <conditionalFormatting sqref="H53:H55">
    <cfRule type="containsText" dxfId="138" priority="4" operator="containsText" text="Navy">
      <formula>NOT(ISERROR(SEARCH("Navy",H53)))</formula>
    </cfRule>
    <cfRule type="containsText" dxfId="137" priority="5" operator="containsText" text="Tied">
      <formula>NOT(ISERROR(SEARCH("Tied",H53)))</formula>
    </cfRule>
    <cfRule type="containsText" dxfId="136" priority="6" operator="containsText" text="Red">
      <formula>NOT(ISERROR(SEARCH("Red",H53)))</formula>
    </cfRule>
  </conditionalFormatting>
  <conditionalFormatting sqref="I14:I24">
    <cfRule type="expression" dxfId="135" priority="43">
      <formula>I14="Navy"</formula>
    </cfRule>
    <cfRule type="expression" dxfId="134" priority="44">
      <formula>I14="Red"</formula>
    </cfRule>
    <cfRule type="expression" dxfId="133" priority="45">
      <formula>I14="Tied"</formula>
    </cfRule>
  </conditionalFormatting>
  <conditionalFormatting sqref="I14:I28 I31:I32 I36:I37 I41:I42 I46:I47">
    <cfRule type="expression" dxfId="132" priority="47">
      <formula>I14="Red"</formula>
    </cfRule>
    <cfRule type="expression" dxfId="131" priority="48">
      <formula>I14="Navy"</formula>
    </cfRule>
    <cfRule type="expression" dxfId="130" priority="49">
      <formula>I14="Tied"</formula>
    </cfRule>
  </conditionalFormatting>
  <conditionalFormatting sqref="I51:I52">
    <cfRule type="expression" dxfId="129" priority="37">
      <formula>I51="Red"</formula>
    </cfRule>
    <cfRule type="expression" dxfId="128" priority="38">
      <formula>I51="Navy"</formula>
    </cfRule>
    <cfRule type="expression" dxfId="127" priority="39">
      <formula>I51="Tied"</formula>
    </cfRule>
  </conditionalFormatting>
  <conditionalFormatting sqref="K23:K24">
    <cfRule type="expression" dxfId="126" priority="46">
      <formula>K23="Final"</formula>
    </cfRule>
  </conditionalFormatting>
  <dataValidations count="6">
    <dataValidation type="list" sqref="D23:D24 E16:E17" xr:uid="{00000000-0002-0000-0000-000000000000}">
      <formula1>$P$2:$P$7</formula1>
    </dataValidation>
    <dataValidation type="list" sqref="F16:G17 F21:F24" xr:uid="{00000000-0002-0000-0000-000001000000}">
      <formula1>$Q$2:$Q$7</formula1>
    </dataValidation>
    <dataValidation type="list" sqref="H53:H55 H38:H40 H33:H35 H28:H30 H43:H45 I15:I18 I42 I37 I32 I24:I27 H48:H50 I20:I22 I47 D15:D22" xr:uid="{00000000-0002-0000-0000-000002000000}">
      <formula1>"Red,Navy,Tied"</formula1>
    </dataValidation>
    <dataValidation type="list" sqref="D19:E19 D32:E32 D27:E27 D40:D42 D35:D37 D23:E23 D30:D31 D45:D47 D51:D52 D16:D18" xr:uid="{00000000-0002-0000-0000-000003000000}">
      <formula1>"Sam Griffiths,Kevin Catliff,Sean Bromley,Dylan Bradley"</formula1>
    </dataValidation>
    <dataValidation type="list" sqref="F19:G19 F32:G32 F27:G27 F40:F42 F35:F37 F23:G23 F30:F31 F45:F47 F51:F52" xr:uid="{00000000-0002-0000-0000-000004000000}">
      <formula1>"Eric Bleim,George Collister,Steven Wells,JJ Meakings"</formula1>
    </dataValidation>
    <dataValidation type="list" sqref="I14:I24" xr:uid="{00000000-0002-0000-0000-000005000000}">
      <formula1>"Navy,Red,Tied"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47"/>
  <sheetViews>
    <sheetView showGridLines="0" workbookViewId="0"/>
  </sheetViews>
  <sheetFormatPr defaultColWidth="12.5703125" defaultRowHeight="12.75"/>
  <cols>
    <col min="1" max="1" width="14.85546875" customWidth="1"/>
    <col min="2" max="2" width="9.85546875" customWidth="1"/>
    <col min="3" max="3" width="12" customWidth="1"/>
    <col min="4" max="4" width="13.85546875" customWidth="1"/>
    <col min="5" max="5" width="15.7109375" customWidth="1"/>
    <col min="6" max="6" width="16.85546875" customWidth="1"/>
    <col min="7" max="7" width="21.140625" customWidth="1"/>
    <col min="8" max="8" width="20" customWidth="1"/>
    <col min="9" max="9" width="17" customWidth="1"/>
    <col min="10" max="10" width="13.28515625" customWidth="1"/>
    <col min="11" max="12" width="4.85546875" customWidth="1"/>
    <col min="13" max="13" width="8.42578125" customWidth="1"/>
    <col min="14" max="14" width="10" customWidth="1"/>
  </cols>
  <sheetData>
    <row r="1" spans="1:13" ht="33.950000000000003" customHeight="1">
      <c r="A1" s="137" t="s">
        <v>89</v>
      </c>
      <c r="B1" s="137"/>
      <c r="C1" s="137"/>
      <c r="D1" s="137"/>
      <c r="E1" s="137"/>
      <c r="F1" s="137"/>
      <c r="G1" s="137"/>
      <c r="H1" s="137"/>
      <c r="I1" s="137"/>
      <c r="J1" s="137"/>
    </row>
    <row r="2" spans="1:13" ht="13.5">
      <c r="A2" s="93"/>
      <c r="B2" s="93"/>
      <c r="C2" s="93"/>
      <c r="D2" s="93"/>
      <c r="E2" s="93"/>
      <c r="F2" s="93"/>
      <c r="G2" s="93"/>
      <c r="H2" s="93"/>
      <c r="I2" s="93"/>
      <c r="J2" s="93"/>
    </row>
    <row r="3" spans="1:13" ht="21.95" customHeight="1">
      <c r="A3" s="138" t="s">
        <v>90</v>
      </c>
      <c r="B3" s="138"/>
      <c r="C3" s="138"/>
      <c r="D3" s="138"/>
      <c r="E3" s="138"/>
      <c r="F3" s="138"/>
      <c r="G3" s="138"/>
      <c r="H3" s="138"/>
      <c r="I3" s="138"/>
      <c r="J3" s="140"/>
    </row>
    <row r="4" spans="1:13" ht="9.9499999999999993" customHeight="1">
      <c r="A4" s="104"/>
      <c r="B4" s="104"/>
      <c r="C4" s="104"/>
      <c r="D4" s="104"/>
      <c r="E4" s="104"/>
      <c r="F4" s="104"/>
      <c r="G4" s="105"/>
      <c r="H4" s="104"/>
      <c r="I4" s="104"/>
    </row>
    <row r="5" spans="1:13" ht="24" customHeight="1">
      <c r="A5" s="203" t="s">
        <v>91</v>
      </c>
      <c r="B5" s="203"/>
      <c r="C5" s="203"/>
      <c r="D5" s="203"/>
      <c r="E5" s="203"/>
      <c r="F5" s="203"/>
      <c r="G5" s="11"/>
    </row>
    <row r="6" spans="1:13" ht="24.95" customHeight="1">
      <c r="A6" s="128" t="s">
        <v>92</v>
      </c>
      <c r="B6" s="128" t="s">
        <v>93</v>
      </c>
      <c r="C6" s="128" t="s">
        <v>94</v>
      </c>
      <c r="D6" s="128" t="s">
        <v>95</v>
      </c>
      <c r="E6" s="128" t="s">
        <v>13</v>
      </c>
      <c r="F6" s="128" t="s">
        <v>14</v>
      </c>
      <c r="G6" s="11"/>
    </row>
    <row r="7" spans="1:13" ht="13.5">
      <c r="A7" s="106">
        <v>2019</v>
      </c>
      <c r="B7" s="106" t="s">
        <v>88</v>
      </c>
      <c r="C7" s="106" t="s">
        <v>44</v>
      </c>
      <c r="D7" s="106" t="s">
        <v>96</v>
      </c>
      <c r="E7" s="106">
        <v>1.5</v>
      </c>
      <c r="F7" s="107">
        <v>13.5</v>
      </c>
      <c r="G7" s="11"/>
    </row>
    <row r="8" spans="1:13" ht="13.5">
      <c r="A8" s="106">
        <v>2020</v>
      </c>
      <c r="B8" s="106" t="s">
        <v>87</v>
      </c>
      <c r="C8" s="106" t="s">
        <v>41</v>
      </c>
      <c r="D8" s="106" t="s">
        <v>97</v>
      </c>
      <c r="E8" s="106">
        <v>10</v>
      </c>
      <c r="F8" s="107">
        <v>5</v>
      </c>
      <c r="G8" s="11"/>
    </row>
    <row r="9" spans="1:13" ht="13.5">
      <c r="A9" s="106">
        <v>2021</v>
      </c>
      <c r="B9" s="106" t="s">
        <v>87</v>
      </c>
      <c r="C9" s="106" t="s">
        <v>51</v>
      </c>
      <c r="D9" s="106" t="s">
        <v>98</v>
      </c>
      <c r="E9" s="106">
        <v>9</v>
      </c>
      <c r="F9" s="107">
        <v>6</v>
      </c>
      <c r="G9" s="11"/>
    </row>
    <row r="10" spans="1:13" ht="13.5">
      <c r="A10" s="106">
        <v>2022</v>
      </c>
      <c r="B10" s="106" t="s">
        <v>88</v>
      </c>
      <c r="C10" s="106" t="s">
        <v>43</v>
      </c>
      <c r="D10" s="106" t="s">
        <v>99</v>
      </c>
      <c r="E10" s="106">
        <v>7</v>
      </c>
      <c r="F10" s="107">
        <v>8</v>
      </c>
      <c r="G10" s="11"/>
    </row>
    <row r="11" spans="1:13" ht="13.5">
      <c r="A11" s="106">
        <v>2025</v>
      </c>
      <c r="B11" s="106" t="s">
        <v>88</v>
      </c>
      <c r="C11" s="106" t="s">
        <v>44</v>
      </c>
      <c r="D11" s="106" t="s">
        <v>100</v>
      </c>
      <c r="E11" s="106">
        <v>5.5</v>
      </c>
      <c r="F11" s="107">
        <v>9.5</v>
      </c>
      <c r="G11" s="11"/>
    </row>
    <row r="12" spans="1:13" ht="13.5">
      <c r="A12" s="11"/>
      <c r="B12" s="11"/>
      <c r="C12" s="11"/>
      <c r="D12" s="11"/>
      <c r="E12" s="97"/>
      <c r="F12" s="96"/>
      <c r="G12" s="11"/>
    </row>
    <row r="13" spans="1:13" ht="13.5">
      <c r="A13" s="11"/>
      <c r="B13" s="11"/>
      <c r="C13" s="11"/>
      <c r="D13" s="11"/>
      <c r="E13" s="97"/>
      <c r="F13" s="96"/>
      <c r="G13" s="11"/>
    </row>
    <row r="14" spans="1:13" ht="15">
      <c r="A14" s="133" t="s">
        <v>101</v>
      </c>
      <c r="B14" s="133"/>
      <c r="C14" s="133"/>
      <c r="D14" s="133"/>
      <c r="E14" s="133"/>
      <c r="F14" s="133"/>
      <c r="G14" s="11"/>
    </row>
    <row r="15" spans="1:13" ht="13.5">
      <c r="A15" s="128" t="s">
        <v>79</v>
      </c>
      <c r="B15" s="128" t="s">
        <v>80</v>
      </c>
      <c r="C15" s="128" t="s">
        <v>102</v>
      </c>
      <c r="D15" s="128" t="s">
        <v>103</v>
      </c>
      <c r="E15" s="128" t="s">
        <v>104</v>
      </c>
      <c r="F15" s="134" t="s">
        <v>105</v>
      </c>
      <c r="G15" s="11"/>
      <c r="H15" s="110"/>
      <c r="I15" s="111"/>
      <c r="J15" s="111"/>
      <c r="K15" s="111"/>
      <c r="L15" s="111"/>
      <c r="M15" s="112"/>
    </row>
    <row r="16" spans="1:13" ht="13.5">
      <c r="A16" t="s">
        <v>606</v>
      </c>
      <c r="B16" s="106" t="s">
        <v>88</v>
      </c>
      <c r="C16" s="106">
        <f>COUNTIFS(PlayerMatchHistory[Player],$A16,PlayerMatchHistory[Result],C$15)+COUNTIFS(PlayerMatchHistory[Player],"All",PlayerMatchHistory[Team],$B16,PlayerMatchHistory[Result],C$15)</f>
        <v>10</v>
      </c>
      <c r="D16" s="106">
        <f>COUNTIFS(PlayerMatchHistory[Player],$A16,PlayerMatchHistory[Result],D$15)+COUNTIFS(PlayerMatchHistory[Player],"All",PlayerMatchHistory[Team],$B16,PlayerMatchHistory[Result],D$15)</f>
        <v>5</v>
      </c>
      <c r="E16" s="106">
        <f>COUNTIFS(PlayerMatchHistory[Player],$A16,PlayerMatchHistory[Result],E$15)+COUNTIFS(PlayerMatchHistory[Player],"All",PlayerMatchHistory[Team],$B16,PlayerMatchHistory[Result],E$15)</f>
        <v>0</v>
      </c>
      <c r="F16" s="136">
        <f t="shared" ref="F16:F23" si="0">(C16+E16/2)/SUM(C16:E16)</f>
        <v>0.66666666666666663</v>
      </c>
      <c r="G16" s="11"/>
      <c r="H16" s="110"/>
      <c r="I16" s="111"/>
      <c r="J16" s="111"/>
      <c r="K16" s="111"/>
      <c r="L16" s="111"/>
      <c r="M16" s="112"/>
    </row>
    <row r="17" spans="1:14" ht="13.5">
      <c r="A17" s="135" t="s">
        <v>52</v>
      </c>
      <c r="B17" s="106" t="s">
        <v>88</v>
      </c>
      <c r="C17" s="106">
        <f>COUNTIFS(PlayerMatchHistory[Player],$A17,PlayerMatchHistory[Result],C$15)+COUNTIFS(PlayerMatchHistory[Player],"All",PlayerMatchHistory[Team],$B17,PlayerMatchHistory[Result],C$15)</f>
        <v>9</v>
      </c>
      <c r="D17" s="106">
        <f>COUNTIFS(PlayerMatchHistory[Player],$A17,PlayerMatchHistory[Result],D$15)+COUNTIFS(PlayerMatchHistory[Player],"All",PlayerMatchHistory[Team],$B17,PlayerMatchHistory[Result],D$15)</f>
        <v>6</v>
      </c>
      <c r="E17" s="106">
        <f>COUNTIFS(PlayerMatchHistory[Player],$A17,PlayerMatchHistory[Result],E$15)+COUNTIFS(PlayerMatchHistory[Player],"All",PlayerMatchHistory[Team],$B17,PlayerMatchHistory[Result],E$15)</f>
        <v>0</v>
      </c>
      <c r="F17" s="136">
        <f t="shared" si="0"/>
        <v>0.6</v>
      </c>
      <c r="G17" s="11"/>
      <c r="H17" s="110"/>
      <c r="I17" s="111"/>
      <c r="J17" s="111"/>
      <c r="K17" s="111"/>
      <c r="L17" s="111"/>
      <c r="M17" s="112"/>
    </row>
    <row r="18" spans="1:14" ht="13.5">
      <c r="A18" s="135" t="s">
        <v>43</v>
      </c>
      <c r="B18" s="106" t="s">
        <v>88</v>
      </c>
      <c r="C18" s="106">
        <f>COUNTIFS(PlayerMatchHistory[Player],$A18,PlayerMatchHistory[Result],C$15)+COUNTIFS(PlayerMatchHistory[Player],"All",PlayerMatchHistory[Team],$B18,PlayerMatchHistory[Result],C$15)</f>
        <v>8</v>
      </c>
      <c r="D18" s="106">
        <f>COUNTIFS(PlayerMatchHistory[Player],$A18,PlayerMatchHistory[Result],D$15)+COUNTIFS(PlayerMatchHistory[Player],"All",PlayerMatchHistory[Team],$B18,PlayerMatchHistory[Result],D$15)</f>
        <v>5</v>
      </c>
      <c r="E18" s="106">
        <f>COUNTIFS(PlayerMatchHistory[Player],$A18,PlayerMatchHistory[Result],E$15)+COUNTIFS(PlayerMatchHistory[Player],"All",PlayerMatchHistory[Team],$B18,PlayerMatchHistory[Result],E$15)</f>
        <v>2</v>
      </c>
      <c r="F18" s="136">
        <f t="shared" si="0"/>
        <v>0.6</v>
      </c>
      <c r="G18" s="11"/>
      <c r="H18" s="110"/>
      <c r="I18" s="111"/>
      <c r="J18" s="111"/>
      <c r="K18" s="111"/>
      <c r="L18" s="111"/>
      <c r="M18" s="112"/>
    </row>
    <row r="19" spans="1:14" ht="13.5">
      <c r="A19" s="135" t="s">
        <v>42</v>
      </c>
      <c r="B19" s="106" t="s">
        <v>87</v>
      </c>
      <c r="C19" s="106">
        <f>COUNTIFS(PlayerMatchHistory[Player],$A19,PlayerMatchHistory[Result],C$15)+COUNTIFS(PlayerMatchHistory[Player],"All",PlayerMatchHistory[Team],$B19,PlayerMatchHistory[Result],C$15)</f>
        <v>8</v>
      </c>
      <c r="D19" s="106">
        <f>COUNTIFS(PlayerMatchHistory[Player],$A19,PlayerMatchHistory[Result],D$15)+COUNTIFS(PlayerMatchHistory[Player],"All",PlayerMatchHistory[Team],$B19,PlayerMatchHistory[Result],D$15)</f>
        <v>6</v>
      </c>
      <c r="E19" s="106">
        <f>COUNTIFS(PlayerMatchHistory[Player],$A19,PlayerMatchHistory[Result],E$15)+COUNTIFS(PlayerMatchHistory[Player],"All",PlayerMatchHistory[Team],$B19,PlayerMatchHistory[Result],E$15)</f>
        <v>1</v>
      </c>
      <c r="F19" s="136">
        <f t="shared" si="0"/>
        <v>0.56666666666666665</v>
      </c>
      <c r="G19" s="11"/>
      <c r="H19" s="110"/>
      <c r="I19" s="111"/>
      <c r="J19" s="111"/>
      <c r="K19" s="111"/>
      <c r="L19" s="111"/>
      <c r="M19" s="112"/>
    </row>
    <row r="20" spans="1:14" ht="13.5">
      <c r="A20" s="135" t="s">
        <v>44</v>
      </c>
      <c r="B20" s="106" t="s">
        <v>88</v>
      </c>
      <c r="C20" s="106">
        <f>COUNTIFS(PlayerMatchHistory[Player],$A20,PlayerMatchHistory[Result],C$15)+COUNTIFS(PlayerMatchHistory[Player],"All",PlayerMatchHistory[Team],$B20,PlayerMatchHistory[Result],C$15)</f>
        <v>8</v>
      </c>
      <c r="D20" s="106">
        <f>COUNTIFS(PlayerMatchHistory[Player],$A20,PlayerMatchHistory[Result],D$15)+COUNTIFS(PlayerMatchHistory[Player],"All",PlayerMatchHistory[Team],$B20,PlayerMatchHistory[Result],D$15)</f>
        <v>7</v>
      </c>
      <c r="E20" s="106">
        <f>COUNTIFS(PlayerMatchHistory[Player],$A20,PlayerMatchHistory[Result],E$15)+COUNTIFS(PlayerMatchHistory[Player],"All",PlayerMatchHistory[Team],$B20,PlayerMatchHistory[Result],E$15)</f>
        <v>0</v>
      </c>
      <c r="F20" s="136">
        <f t="shared" si="0"/>
        <v>0.53333333333333333</v>
      </c>
      <c r="G20" s="11"/>
      <c r="H20" s="110"/>
      <c r="I20" s="111"/>
      <c r="J20" s="111"/>
      <c r="K20" s="111"/>
      <c r="L20" s="111"/>
      <c r="M20" s="112"/>
    </row>
    <row r="21" spans="1:14" ht="13.5">
      <c r="A21" s="135" t="s">
        <v>41</v>
      </c>
      <c r="B21" s="106" t="s">
        <v>87</v>
      </c>
      <c r="C21" s="106">
        <f>COUNTIFS(PlayerMatchHistory[Player],$A21,PlayerMatchHistory[Result],C$15)+COUNTIFS(PlayerMatchHistory[Player],"All",PlayerMatchHistory[Team],$B21,PlayerMatchHistory[Result],C$15)</f>
        <v>6</v>
      </c>
      <c r="D21" s="106">
        <f>COUNTIFS(PlayerMatchHistory[Player],$A21,PlayerMatchHistory[Result],D$15)+COUNTIFS(PlayerMatchHistory[Player],"All",PlayerMatchHistory[Team],$B21,PlayerMatchHistory[Result],D$15)</f>
        <v>8</v>
      </c>
      <c r="E21" s="106">
        <f>COUNTIFS(PlayerMatchHistory[Player],$A21,PlayerMatchHistory[Result],E$15)+COUNTIFS(PlayerMatchHistory[Player],"All",PlayerMatchHistory[Team],$B21,PlayerMatchHistory[Result],E$15)</f>
        <v>1</v>
      </c>
      <c r="F21" s="136">
        <f t="shared" si="0"/>
        <v>0.43333333333333335</v>
      </c>
      <c r="G21" s="11"/>
      <c r="H21" s="110"/>
      <c r="I21" s="111"/>
      <c r="J21" s="111"/>
      <c r="K21" s="111"/>
      <c r="L21" s="111"/>
      <c r="M21" s="112"/>
    </row>
    <row r="22" spans="1:14" ht="13.5">
      <c r="A22" s="135" t="s">
        <v>50</v>
      </c>
      <c r="B22" s="106" t="s">
        <v>87</v>
      </c>
      <c r="C22" s="106">
        <f>COUNTIFS(PlayerMatchHistory[Player],$A22,PlayerMatchHistory[Result],C$15)+COUNTIFS(PlayerMatchHistory[Player],"All",PlayerMatchHistory[Team],$B22,PlayerMatchHistory[Result],C$15)</f>
        <v>5</v>
      </c>
      <c r="D22" s="106">
        <f>COUNTIFS(PlayerMatchHistory[Player],$A22,PlayerMatchHistory[Result],D$15)+COUNTIFS(PlayerMatchHistory[Player],"All",PlayerMatchHistory[Team],$B22,PlayerMatchHistory[Result],D$15)</f>
        <v>10</v>
      </c>
      <c r="E22" s="106">
        <f>COUNTIFS(PlayerMatchHistory[Player],$A22,PlayerMatchHistory[Result],E$15)+COUNTIFS(PlayerMatchHistory[Player],"All",PlayerMatchHistory[Team],$B22,PlayerMatchHistory[Result],E$15)</f>
        <v>0</v>
      </c>
      <c r="F22" s="136">
        <f t="shared" si="0"/>
        <v>0.33333333333333331</v>
      </c>
      <c r="G22" s="11"/>
      <c r="H22" s="110"/>
      <c r="I22" s="111"/>
      <c r="J22" s="111"/>
      <c r="K22" s="111"/>
      <c r="L22" s="111"/>
      <c r="M22" s="112"/>
    </row>
    <row r="23" spans="1:14" ht="13.5">
      <c r="A23" s="110" t="s">
        <v>51</v>
      </c>
      <c r="B23" s="111" t="s">
        <v>87</v>
      </c>
      <c r="C23" s="111">
        <f>COUNTIFS(PlayerMatchHistory[Player],$A23,PlayerMatchHistory[Result],C$15)+COUNTIFS(PlayerMatchHistory[Player],"All",PlayerMatchHistory[Team],$B23,PlayerMatchHistory[Result],C$15)</f>
        <v>4</v>
      </c>
      <c r="D23" s="111">
        <f>COUNTIFS(PlayerMatchHistory[Player],$A23,PlayerMatchHistory[Result],D$15)+COUNTIFS(PlayerMatchHistory[Player],"All",PlayerMatchHistory[Team],$B23,PlayerMatchHistory[Result],D$15)</f>
        <v>11</v>
      </c>
      <c r="E23" s="111">
        <f>COUNTIFS(PlayerMatchHistory[Player],$A23,PlayerMatchHistory[Result],E$15)+COUNTIFS(PlayerMatchHistory[Player],"All",PlayerMatchHistory[Team],$B23,PlayerMatchHistory[Result],E$15)</f>
        <v>0</v>
      </c>
      <c r="F23" s="112">
        <f t="shared" si="0"/>
        <v>0.26666666666666666</v>
      </c>
      <c r="G23" s="11"/>
      <c r="H23" s="110"/>
      <c r="I23" s="111"/>
      <c r="J23" s="111"/>
      <c r="K23" s="111"/>
      <c r="L23" s="111"/>
      <c r="M23" s="112"/>
    </row>
    <row r="24" spans="1:14" ht="13.5">
      <c r="A24" s="11"/>
      <c r="B24" s="11"/>
      <c r="C24" s="11"/>
      <c r="D24" s="11"/>
      <c r="E24" s="97"/>
      <c r="F24" s="96"/>
      <c r="G24" s="11"/>
      <c r="H24" s="110"/>
      <c r="I24" s="111"/>
      <c r="J24" s="111"/>
      <c r="K24" s="111"/>
      <c r="L24" s="111"/>
      <c r="M24" s="112"/>
    </row>
    <row r="25" spans="1:14" ht="13.5">
      <c r="A25" s="11"/>
      <c r="B25" s="11"/>
      <c r="C25" s="11"/>
      <c r="D25" s="11"/>
      <c r="E25" s="94"/>
      <c r="F25" s="11"/>
      <c r="G25" s="11"/>
      <c r="H25" s="11"/>
      <c r="I25" s="11"/>
      <c r="J25" s="11"/>
      <c r="K25" s="11"/>
      <c r="L25" s="95"/>
      <c r="M25" s="11"/>
      <c r="N25" s="11"/>
    </row>
    <row r="26" spans="1:14" ht="24" customHeight="1">
      <c r="A26" s="121" t="s">
        <v>106</v>
      </c>
      <c r="B26" s="122"/>
      <c r="C26" s="122"/>
      <c r="D26" s="123"/>
      <c r="E26" s="122"/>
      <c r="F26" s="122"/>
      <c r="G26" s="122"/>
      <c r="H26" s="122"/>
      <c r="I26" s="122"/>
      <c r="J26" s="122"/>
    </row>
    <row r="27" spans="1:14" ht="21" customHeight="1">
      <c r="A27" s="98" t="s">
        <v>107</v>
      </c>
      <c r="B27" s="99"/>
      <c r="C27" s="99"/>
      <c r="D27" s="100"/>
      <c r="E27" s="119"/>
      <c r="F27" s="99"/>
      <c r="G27" s="99"/>
      <c r="H27" s="99"/>
      <c r="I27" s="99"/>
      <c r="J27" s="99"/>
    </row>
    <row r="28" spans="1:14" ht="24.95" customHeight="1">
      <c r="A28" s="128" t="s">
        <v>92</v>
      </c>
      <c r="B28" s="128" t="s">
        <v>108</v>
      </c>
      <c r="C28" s="128" t="s">
        <v>109</v>
      </c>
      <c r="D28" s="128" t="s">
        <v>8</v>
      </c>
      <c r="E28" s="128" t="s">
        <v>79</v>
      </c>
      <c r="F28" s="128" t="s">
        <v>80</v>
      </c>
      <c r="G28" s="128" t="s">
        <v>110</v>
      </c>
      <c r="H28" s="128" t="s">
        <v>111</v>
      </c>
      <c r="I28" s="128" t="s">
        <v>112</v>
      </c>
      <c r="J28" s="128" t="s">
        <v>113</v>
      </c>
      <c r="L28" s="105"/>
      <c r="M28" s="105"/>
      <c r="N28" s="105"/>
    </row>
    <row r="29" spans="1:14" ht="13.5" customHeight="1">
      <c r="A29" s="129">
        <v>2019</v>
      </c>
      <c r="B29" s="143" t="s">
        <v>114</v>
      </c>
      <c r="C29" s="124" t="s">
        <v>115</v>
      </c>
      <c r="D29" s="124"/>
      <c r="E29" s="125" t="s">
        <v>42</v>
      </c>
      <c r="F29" s="125" t="s">
        <v>87</v>
      </c>
      <c r="G29" s="125" t="s">
        <v>51</v>
      </c>
      <c r="H29" s="125"/>
      <c r="I29" s="126" t="s">
        <v>103</v>
      </c>
      <c r="J29" s="141" t="s">
        <v>116</v>
      </c>
      <c r="L29" s="105"/>
      <c r="M29" s="105"/>
      <c r="N29" s="105"/>
    </row>
    <row r="30" spans="1:14" ht="13.5" customHeight="1">
      <c r="A30" s="129">
        <v>2019</v>
      </c>
      <c r="B30" s="124" t="s">
        <v>114</v>
      </c>
      <c r="C30" s="124" t="s">
        <v>115</v>
      </c>
      <c r="D30" s="124"/>
      <c r="E30" s="125" t="s">
        <v>51</v>
      </c>
      <c r="F30" s="125" t="s">
        <v>87</v>
      </c>
      <c r="G30" s="125" t="s">
        <v>42</v>
      </c>
      <c r="H30" s="125"/>
      <c r="I30" s="126" t="s">
        <v>103</v>
      </c>
      <c r="J30" s="125" t="s">
        <v>116</v>
      </c>
      <c r="L30" s="105"/>
      <c r="M30" s="105"/>
      <c r="N30" s="105"/>
    </row>
    <row r="31" spans="1:14" ht="13.5" customHeight="1">
      <c r="A31" s="130">
        <v>2019</v>
      </c>
      <c r="B31" s="113" t="s">
        <v>114</v>
      </c>
      <c r="C31" s="113" t="s">
        <v>115</v>
      </c>
      <c r="D31" s="113"/>
      <c r="E31" s="114" t="s">
        <v>43</v>
      </c>
      <c r="F31" s="114" t="s">
        <v>88</v>
      </c>
      <c r="G31" s="114" t="s">
        <v>606</v>
      </c>
      <c r="H31" s="114"/>
      <c r="I31" s="115" t="s">
        <v>102</v>
      </c>
      <c r="J31" s="116" t="s">
        <v>116</v>
      </c>
      <c r="L31" s="105"/>
      <c r="M31" s="105"/>
      <c r="N31" s="105"/>
    </row>
    <row r="32" spans="1:14" ht="13.5" customHeight="1">
      <c r="A32" s="130">
        <v>2019</v>
      </c>
      <c r="B32" s="113" t="s">
        <v>114</v>
      </c>
      <c r="C32" s="113" t="s">
        <v>115</v>
      </c>
      <c r="D32" s="113"/>
      <c r="E32" s="114" t="s">
        <v>606</v>
      </c>
      <c r="F32" s="114" t="s">
        <v>88</v>
      </c>
      <c r="G32" s="114" t="s">
        <v>43</v>
      </c>
      <c r="H32" s="114"/>
      <c r="I32" s="115" t="s">
        <v>102</v>
      </c>
      <c r="J32" s="116" t="s">
        <v>116</v>
      </c>
      <c r="L32" s="105"/>
      <c r="M32" s="105"/>
      <c r="N32" s="105"/>
    </row>
    <row r="33" spans="1:14" ht="13.5" customHeight="1">
      <c r="A33" s="129">
        <v>2019</v>
      </c>
      <c r="B33" s="143" t="s">
        <v>117</v>
      </c>
      <c r="C33" s="124" t="s">
        <v>115</v>
      </c>
      <c r="D33" s="124"/>
      <c r="E33" s="125" t="s">
        <v>50</v>
      </c>
      <c r="F33" s="125" t="s">
        <v>87</v>
      </c>
      <c r="G33" s="125" t="s">
        <v>41</v>
      </c>
      <c r="H33" s="125"/>
      <c r="I33" s="126" t="s">
        <v>103</v>
      </c>
      <c r="J33" s="141" t="s">
        <v>118</v>
      </c>
      <c r="L33" s="105"/>
      <c r="M33" s="105"/>
      <c r="N33" s="105"/>
    </row>
    <row r="34" spans="1:14" ht="13.5" customHeight="1">
      <c r="A34" s="129">
        <v>2019</v>
      </c>
      <c r="B34" s="124" t="s">
        <v>117</v>
      </c>
      <c r="C34" s="124" t="s">
        <v>115</v>
      </c>
      <c r="D34" s="124"/>
      <c r="E34" s="125" t="s">
        <v>41</v>
      </c>
      <c r="F34" s="125" t="s">
        <v>87</v>
      </c>
      <c r="G34" s="125" t="s">
        <v>50</v>
      </c>
      <c r="H34" s="125"/>
      <c r="I34" s="126" t="s">
        <v>103</v>
      </c>
      <c r="J34" s="125" t="s">
        <v>118</v>
      </c>
      <c r="L34" s="105"/>
      <c r="M34" s="105"/>
      <c r="N34" s="105"/>
    </row>
    <row r="35" spans="1:14" ht="13.5" customHeight="1">
      <c r="A35" s="130">
        <v>2019</v>
      </c>
      <c r="B35" s="113" t="s">
        <v>117</v>
      </c>
      <c r="C35" s="113" t="s">
        <v>115</v>
      </c>
      <c r="D35" s="113"/>
      <c r="E35" s="114" t="s">
        <v>44</v>
      </c>
      <c r="F35" s="114" t="s">
        <v>88</v>
      </c>
      <c r="G35" s="114" t="s">
        <v>52</v>
      </c>
      <c r="H35" s="114"/>
      <c r="I35" s="115" t="s">
        <v>102</v>
      </c>
      <c r="J35" s="116" t="s">
        <v>118</v>
      </c>
      <c r="L35" s="105"/>
      <c r="M35" s="105"/>
      <c r="N35" s="105"/>
    </row>
    <row r="36" spans="1:14" ht="13.5" customHeight="1">
      <c r="A36" s="130">
        <v>2019</v>
      </c>
      <c r="B36" s="113" t="s">
        <v>117</v>
      </c>
      <c r="C36" s="113" t="s">
        <v>115</v>
      </c>
      <c r="D36" s="113"/>
      <c r="E36" s="114" t="s">
        <v>52</v>
      </c>
      <c r="F36" s="114" t="s">
        <v>88</v>
      </c>
      <c r="G36" s="114" t="s">
        <v>44</v>
      </c>
      <c r="H36" s="114"/>
      <c r="I36" s="115" t="s">
        <v>102</v>
      </c>
      <c r="J36" s="116" t="s">
        <v>118</v>
      </c>
      <c r="L36" s="105"/>
      <c r="M36" s="105"/>
      <c r="N36" s="120"/>
    </row>
    <row r="37" spans="1:14" ht="13.5" customHeight="1">
      <c r="A37" s="129">
        <v>2019</v>
      </c>
      <c r="B37" s="143" t="s">
        <v>119</v>
      </c>
      <c r="C37" s="124" t="s">
        <v>16</v>
      </c>
      <c r="D37" s="124"/>
      <c r="E37" s="125" t="s">
        <v>42</v>
      </c>
      <c r="F37" s="125" t="s">
        <v>87</v>
      </c>
      <c r="G37" s="125" t="s">
        <v>41</v>
      </c>
      <c r="H37" s="125"/>
      <c r="I37" s="126" t="s">
        <v>102</v>
      </c>
      <c r="J37" s="141" t="s">
        <v>120</v>
      </c>
      <c r="L37" s="105"/>
      <c r="M37" s="105"/>
      <c r="N37" s="105"/>
    </row>
    <row r="38" spans="1:14" ht="13.5" customHeight="1">
      <c r="A38" s="129">
        <v>2019</v>
      </c>
      <c r="B38" s="124" t="s">
        <v>119</v>
      </c>
      <c r="C38" s="124" t="s">
        <v>16</v>
      </c>
      <c r="D38" s="124"/>
      <c r="E38" s="125" t="s">
        <v>41</v>
      </c>
      <c r="F38" s="125" t="s">
        <v>87</v>
      </c>
      <c r="G38" s="125" t="s">
        <v>42</v>
      </c>
      <c r="H38" s="125"/>
      <c r="I38" s="126" t="s">
        <v>102</v>
      </c>
      <c r="J38" s="125" t="s">
        <v>120</v>
      </c>
      <c r="L38" s="105"/>
      <c r="M38" s="105"/>
      <c r="N38" s="105"/>
    </row>
    <row r="39" spans="1:14" ht="13.5" customHeight="1">
      <c r="A39" s="130">
        <v>2019</v>
      </c>
      <c r="B39" s="113" t="s">
        <v>119</v>
      </c>
      <c r="C39" s="113" t="s">
        <v>16</v>
      </c>
      <c r="D39" s="113"/>
      <c r="E39" s="114" t="s">
        <v>43</v>
      </c>
      <c r="F39" s="114" t="s">
        <v>88</v>
      </c>
      <c r="G39" s="114" t="s">
        <v>52</v>
      </c>
      <c r="H39" s="114"/>
      <c r="I39" s="115" t="s">
        <v>103</v>
      </c>
      <c r="J39" s="116" t="s">
        <v>120</v>
      </c>
      <c r="L39" s="105"/>
      <c r="M39" s="105"/>
      <c r="N39" s="105"/>
    </row>
    <row r="40" spans="1:14" ht="13.5" customHeight="1">
      <c r="A40" s="130">
        <v>2019</v>
      </c>
      <c r="B40" s="113" t="s">
        <v>119</v>
      </c>
      <c r="C40" s="113" t="s">
        <v>16</v>
      </c>
      <c r="D40" s="113"/>
      <c r="E40" s="114" t="s">
        <v>52</v>
      </c>
      <c r="F40" s="114" t="s">
        <v>88</v>
      </c>
      <c r="G40" s="114" t="s">
        <v>43</v>
      </c>
      <c r="H40" s="114"/>
      <c r="I40" s="115" t="s">
        <v>103</v>
      </c>
      <c r="J40" s="116" t="s">
        <v>120</v>
      </c>
      <c r="L40" s="105"/>
      <c r="M40" s="105"/>
      <c r="N40" s="105"/>
    </row>
    <row r="41" spans="1:14" ht="13.5" customHeight="1">
      <c r="A41" s="129">
        <v>2019</v>
      </c>
      <c r="B41" s="143" t="s">
        <v>121</v>
      </c>
      <c r="C41" s="124" t="s">
        <v>16</v>
      </c>
      <c r="D41" s="124"/>
      <c r="E41" s="125" t="s">
        <v>51</v>
      </c>
      <c r="F41" s="125" t="s">
        <v>87</v>
      </c>
      <c r="G41" s="125" t="s">
        <v>50</v>
      </c>
      <c r="H41" s="125"/>
      <c r="I41" s="126" t="s">
        <v>103</v>
      </c>
      <c r="J41" s="141" t="s">
        <v>122</v>
      </c>
      <c r="L41" s="105"/>
      <c r="M41" s="105"/>
      <c r="N41" s="105"/>
    </row>
    <row r="42" spans="1:14" ht="13.5" customHeight="1">
      <c r="A42" s="129">
        <v>2019</v>
      </c>
      <c r="B42" s="124" t="s">
        <v>121</v>
      </c>
      <c r="C42" s="124" t="s">
        <v>16</v>
      </c>
      <c r="D42" s="124"/>
      <c r="E42" s="125" t="s">
        <v>50</v>
      </c>
      <c r="F42" s="125" t="s">
        <v>87</v>
      </c>
      <c r="G42" s="125" t="s">
        <v>51</v>
      </c>
      <c r="H42" s="125"/>
      <c r="I42" s="126" t="s">
        <v>103</v>
      </c>
      <c r="J42" s="141" t="s">
        <v>122</v>
      </c>
      <c r="L42" s="105"/>
      <c r="M42" s="105"/>
      <c r="N42" s="105"/>
    </row>
    <row r="43" spans="1:14" ht="13.5" customHeight="1">
      <c r="A43" s="130">
        <v>2019</v>
      </c>
      <c r="B43" s="113" t="s">
        <v>121</v>
      </c>
      <c r="C43" s="113" t="s">
        <v>16</v>
      </c>
      <c r="D43" s="113"/>
      <c r="E43" s="114" t="s">
        <v>44</v>
      </c>
      <c r="F43" s="114" t="s">
        <v>88</v>
      </c>
      <c r="G43" s="114" t="s">
        <v>606</v>
      </c>
      <c r="H43" s="114"/>
      <c r="I43" s="115" t="s">
        <v>102</v>
      </c>
      <c r="J43" s="141" t="s">
        <v>122</v>
      </c>
      <c r="L43" s="105"/>
      <c r="M43" s="105"/>
      <c r="N43" s="105"/>
    </row>
    <row r="44" spans="1:14" ht="13.5" customHeight="1">
      <c r="A44" s="130">
        <v>2019</v>
      </c>
      <c r="B44" s="113" t="s">
        <v>121</v>
      </c>
      <c r="C44" s="113" t="s">
        <v>16</v>
      </c>
      <c r="D44" s="113"/>
      <c r="E44" s="114" t="s">
        <v>606</v>
      </c>
      <c r="F44" s="114" t="s">
        <v>88</v>
      </c>
      <c r="G44" s="114" t="s">
        <v>44</v>
      </c>
      <c r="H44" s="114"/>
      <c r="I44" s="115" t="s">
        <v>102</v>
      </c>
      <c r="J44" s="141" t="s">
        <v>122</v>
      </c>
      <c r="L44" s="105"/>
      <c r="M44" s="105"/>
      <c r="N44" s="105"/>
    </row>
    <row r="45" spans="1:14" ht="13.5" customHeight="1">
      <c r="A45" s="129">
        <v>2019</v>
      </c>
      <c r="B45" s="124" t="s">
        <v>123</v>
      </c>
      <c r="C45" s="124" t="s">
        <v>124</v>
      </c>
      <c r="D45" s="124"/>
      <c r="E45" s="125" t="s">
        <v>42</v>
      </c>
      <c r="F45" s="125" t="s">
        <v>87</v>
      </c>
      <c r="G45" s="125"/>
      <c r="H45" s="125" t="s">
        <v>43</v>
      </c>
      <c r="I45" s="126" t="s">
        <v>104</v>
      </c>
      <c r="J45" s="125" t="s">
        <v>125</v>
      </c>
      <c r="L45" s="105"/>
      <c r="M45" s="105"/>
      <c r="N45" s="105"/>
    </row>
    <row r="46" spans="1:14" ht="13.5" customHeight="1">
      <c r="A46" s="130">
        <v>2019</v>
      </c>
      <c r="B46" s="113" t="s">
        <v>123</v>
      </c>
      <c r="C46" s="113" t="s">
        <v>124</v>
      </c>
      <c r="D46" s="113"/>
      <c r="E46" s="114" t="s">
        <v>43</v>
      </c>
      <c r="F46" s="114" t="s">
        <v>88</v>
      </c>
      <c r="G46" s="114"/>
      <c r="H46" s="114" t="s">
        <v>42</v>
      </c>
      <c r="I46" s="115" t="s">
        <v>104</v>
      </c>
      <c r="J46" s="103" t="s">
        <v>125</v>
      </c>
      <c r="L46" s="105"/>
      <c r="M46" s="105"/>
      <c r="N46" s="105"/>
    </row>
    <row r="47" spans="1:14" ht="13.5" customHeight="1">
      <c r="A47" s="129">
        <v>2019</v>
      </c>
      <c r="B47" s="124" t="s">
        <v>123</v>
      </c>
      <c r="C47" s="124" t="s">
        <v>124</v>
      </c>
      <c r="D47" s="124"/>
      <c r="E47" s="125" t="s">
        <v>41</v>
      </c>
      <c r="F47" s="125" t="s">
        <v>87</v>
      </c>
      <c r="G47" s="125"/>
      <c r="H47" s="125" t="s">
        <v>44</v>
      </c>
      <c r="I47" s="126" t="s">
        <v>103</v>
      </c>
      <c r="J47" s="141" t="s">
        <v>116</v>
      </c>
      <c r="L47" s="105"/>
      <c r="M47" s="105"/>
      <c r="N47" s="105"/>
    </row>
    <row r="48" spans="1:14" ht="13.5" customHeight="1">
      <c r="A48" s="130">
        <v>2019</v>
      </c>
      <c r="B48" s="113" t="s">
        <v>123</v>
      </c>
      <c r="C48" s="113" t="s">
        <v>124</v>
      </c>
      <c r="D48" s="113"/>
      <c r="E48" s="114" t="s">
        <v>44</v>
      </c>
      <c r="F48" s="114" t="s">
        <v>88</v>
      </c>
      <c r="G48" s="114"/>
      <c r="H48" s="114" t="s">
        <v>41</v>
      </c>
      <c r="I48" s="115" t="s">
        <v>102</v>
      </c>
      <c r="J48" s="141" t="s">
        <v>116</v>
      </c>
      <c r="L48" s="105"/>
      <c r="M48" s="105"/>
      <c r="N48" s="105"/>
    </row>
    <row r="49" spans="1:14" ht="13.5" customHeight="1">
      <c r="A49" s="129">
        <v>2019</v>
      </c>
      <c r="B49" s="124" t="s">
        <v>123</v>
      </c>
      <c r="C49" s="124" t="s">
        <v>124</v>
      </c>
      <c r="D49" s="124"/>
      <c r="E49" s="125" t="s">
        <v>51</v>
      </c>
      <c r="F49" s="125" t="s">
        <v>87</v>
      </c>
      <c r="G49" s="125"/>
      <c r="H49" s="125" t="s">
        <v>52</v>
      </c>
      <c r="I49" s="126" t="s">
        <v>103</v>
      </c>
      <c r="J49" s="141" t="s">
        <v>126</v>
      </c>
      <c r="L49" s="105"/>
      <c r="M49" s="105"/>
      <c r="N49" s="105"/>
    </row>
    <row r="50" spans="1:14" ht="13.5" customHeight="1">
      <c r="A50" s="130">
        <v>2019</v>
      </c>
      <c r="B50" s="113" t="s">
        <v>123</v>
      </c>
      <c r="C50" s="113" t="s">
        <v>124</v>
      </c>
      <c r="D50" s="113"/>
      <c r="E50" s="114" t="s">
        <v>52</v>
      </c>
      <c r="F50" s="114" t="s">
        <v>88</v>
      </c>
      <c r="G50" s="114"/>
      <c r="H50" s="114" t="s">
        <v>51</v>
      </c>
      <c r="I50" s="115" t="s">
        <v>102</v>
      </c>
      <c r="J50" s="116" t="s">
        <v>126</v>
      </c>
      <c r="L50" s="105"/>
      <c r="M50" s="105"/>
      <c r="N50" s="105"/>
    </row>
    <row r="51" spans="1:14" ht="13.5" customHeight="1">
      <c r="A51" s="129">
        <v>2019</v>
      </c>
      <c r="B51" s="124" t="s">
        <v>123</v>
      </c>
      <c r="C51" s="124" t="s">
        <v>124</v>
      </c>
      <c r="D51" s="124"/>
      <c r="E51" s="125" t="s">
        <v>50</v>
      </c>
      <c r="F51" s="125" t="s">
        <v>87</v>
      </c>
      <c r="G51" s="125"/>
      <c r="H51" s="125" t="s">
        <v>606</v>
      </c>
      <c r="I51" s="126" t="s">
        <v>103</v>
      </c>
      <c r="J51" s="141" t="s">
        <v>116</v>
      </c>
      <c r="L51" s="105"/>
      <c r="M51" s="105"/>
      <c r="N51" s="105"/>
    </row>
    <row r="52" spans="1:14" ht="13.5" customHeight="1">
      <c r="A52" s="130">
        <v>2019</v>
      </c>
      <c r="B52" s="113" t="s">
        <v>123</v>
      </c>
      <c r="C52" s="113" t="s">
        <v>124</v>
      </c>
      <c r="D52" s="113"/>
      <c r="E52" s="114" t="s">
        <v>606</v>
      </c>
      <c r="F52" s="114" t="s">
        <v>88</v>
      </c>
      <c r="G52" s="114"/>
      <c r="H52" s="114" t="s">
        <v>50</v>
      </c>
      <c r="I52" s="115" t="s">
        <v>102</v>
      </c>
      <c r="J52" s="116" t="s">
        <v>116</v>
      </c>
      <c r="L52" s="105"/>
      <c r="M52" s="105"/>
      <c r="N52" s="105"/>
    </row>
    <row r="53" spans="1:14" ht="13.5" customHeight="1">
      <c r="A53" s="129">
        <v>2020</v>
      </c>
      <c r="B53" s="143" t="s">
        <v>114</v>
      </c>
      <c r="C53" s="124" t="s">
        <v>115</v>
      </c>
      <c r="D53" s="124"/>
      <c r="E53" s="125" t="s">
        <v>42</v>
      </c>
      <c r="F53" s="125" t="s">
        <v>87</v>
      </c>
      <c r="G53" s="125" t="s">
        <v>50</v>
      </c>
      <c r="H53" s="125"/>
      <c r="I53" s="126" t="s">
        <v>102</v>
      </c>
      <c r="J53" s="141" t="s">
        <v>127</v>
      </c>
      <c r="L53" s="105"/>
      <c r="M53" s="105"/>
      <c r="N53" s="105"/>
    </row>
    <row r="54" spans="1:14" ht="13.5" customHeight="1">
      <c r="A54" s="129">
        <v>2020</v>
      </c>
      <c r="B54" s="124" t="s">
        <v>114</v>
      </c>
      <c r="C54" s="124" t="s">
        <v>115</v>
      </c>
      <c r="D54" s="124"/>
      <c r="E54" s="125" t="s">
        <v>50</v>
      </c>
      <c r="F54" s="125" t="s">
        <v>87</v>
      </c>
      <c r="G54" s="125" t="s">
        <v>42</v>
      </c>
      <c r="H54" s="125"/>
      <c r="I54" s="126" t="s">
        <v>102</v>
      </c>
      <c r="J54" s="125" t="s">
        <v>127</v>
      </c>
      <c r="L54" s="105"/>
      <c r="M54" s="105"/>
      <c r="N54" s="105"/>
    </row>
    <row r="55" spans="1:14" ht="13.5" customHeight="1">
      <c r="A55" s="130">
        <v>2020</v>
      </c>
      <c r="B55" s="113" t="s">
        <v>114</v>
      </c>
      <c r="C55" s="113" t="s">
        <v>115</v>
      </c>
      <c r="D55" s="113"/>
      <c r="E55" s="114" t="s">
        <v>43</v>
      </c>
      <c r="F55" s="114" t="s">
        <v>88</v>
      </c>
      <c r="G55" s="114" t="s">
        <v>606</v>
      </c>
      <c r="H55" s="114"/>
      <c r="I55" s="115" t="s">
        <v>103</v>
      </c>
      <c r="J55" s="116" t="s">
        <v>127</v>
      </c>
      <c r="L55" s="105"/>
      <c r="M55" s="105"/>
      <c r="N55" s="105"/>
    </row>
    <row r="56" spans="1:14" ht="13.5" customHeight="1">
      <c r="A56" s="130">
        <v>2020</v>
      </c>
      <c r="B56" s="113" t="s">
        <v>114</v>
      </c>
      <c r="C56" s="113" t="s">
        <v>115</v>
      </c>
      <c r="D56" s="113"/>
      <c r="E56" s="114" t="s">
        <v>606</v>
      </c>
      <c r="F56" s="114" t="s">
        <v>88</v>
      </c>
      <c r="G56" s="114" t="s">
        <v>43</v>
      </c>
      <c r="H56" s="114"/>
      <c r="I56" s="115" t="s">
        <v>103</v>
      </c>
      <c r="J56" s="116" t="s">
        <v>127</v>
      </c>
      <c r="L56" s="105"/>
      <c r="M56" s="105"/>
      <c r="N56" s="105"/>
    </row>
    <row r="57" spans="1:14" ht="13.5" customHeight="1">
      <c r="A57" s="129">
        <v>2020</v>
      </c>
      <c r="B57" s="143" t="s">
        <v>117</v>
      </c>
      <c r="C57" s="124" t="s">
        <v>115</v>
      </c>
      <c r="D57" s="124"/>
      <c r="E57" s="125" t="s">
        <v>41</v>
      </c>
      <c r="F57" s="125" t="s">
        <v>87</v>
      </c>
      <c r="G57" s="125" t="s">
        <v>51</v>
      </c>
      <c r="H57" s="125"/>
      <c r="I57" s="126" t="s">
        <v>102</v>
      </c>
      <c r="J57" s="141" t="s">
        <v>128</v>
      </c>
      <c r="L57" s="105"/>
      <c r="M57" s="105"/>
      <c r="N57" s="105"/>
    </row>
    <row r="58" spans="1:14" ht="13.5" customHeight="1">
      <c r="A58" s="129">
        <v>2020</v>
      </c>
      <c r="B58" s="124" t="s">
        <v>117</v>
      </c>
      <c r="C58" s="124" t="s">
        <v>115</v>
      </c>
      <c r="D58" s="124"/>
      <c r="E58" s="125" t="s">
        <v>51</v>
      </c>
      <c r="F58" s="125" t="s">
        <v>87</v>
      </c>
      <c r="G58" s="125" t="s">
        <v>41</v>
      </c>
      <c r="H58" s="125"/>
      <c r="I58" s="126" t="s">
        <v>102</v>
      </c>
      <c r="J58" s="125" t="s">
        <v>128</v>
      </c>
      <c r="L58" s="105"/>
      <c r="M58" s="105"/>
      <c r="N58" s="105"/>
    </row>
    <row r="59" spans="1:14" ht="13.5" customHeight="1">
      <c r="A59" s="130">
        <v>2020</v>
      </c>
      <c r="B59" s="113" t="s">
        <v>117</v>
      </c>
      <c r="C59" s="113" t="s">
        <v>115</v>
      </c>
      <c r="D59" s="113"/>
      <c r="E59" s="114" t="s">
        <v>44</v>
      </c>
      <c r="F59" s="114" t="s">
        <v>88</v>
      </c>
      <c r="G59" s="114" t="s">
        <v>52</v>
      </c>
      <c r="H59" s="114"/>
      <c r="I59" s="115" t="s">
        <v>103</v>
      </c>
      <c r="J59" s="116" t="s">
        <v>128</v>
      </c>
      <c r="L59" s="105"/>
      <c r="M59" s="105"/>
      <c r="N59" s="105"/>
    </row>
    <row r="60" spans="1:14" ht="13.5" customHeight="1">
      <c r="A60" s="130">
        <v>2020</v>
      </c>
      <c r="B60" s="113" t="s">
        <v>117</v>
      </c>
      <c r="C60" s="113" t="s">
        <v>115</v>
      </c>
      <c r="D60" s="113"/>
      <c r="E60" s="114" t="s">
        <v>52</v>
      </c>
      <c r="F60" s="114" t="s">
        <v>88</v>
      </c>
      <c r="G60" s="114" t="s">
        <v>44</v>
      </c>
      <c r="H60" s="114"/>
      <c r="I60" s="115" t="s">
        <v>103</v>
      </c>
      <c r="J60" s="116" t="s">
        <v>128</v>
      </c>
      <c r="L60" s="105"/>
      <c r="M60" s="105"/>
      <c r="N60" s="105"/>
    </row>
    <row r="61" spans="1:14" ht="13.5" customHeight="1">
      <c r="A61" s="129">
        <v>2020</v>
      </c>
      <c r="B61" s="143" t="s">
        <v>119</v>
      </c>
      <c r="C61" s="124" t="s">
        <v>16</v>
      </c>
      <c r="D61" s="124"/>
      <c r="E61" s="125" t="s">
        <v>41</v>
      </c>
      <c r="F61" s="125" t="s">
        <v>87</v>
      </c>
      <c r="G61" s="125" t="s">
        <v>51</v>
      </c>
      <c r="H61" s="125"/>
      <c r="I61" s="126" t="s">
        <v>103</v>
      </c>
      <c r="J61" s="141" t="s">
        <v>129</v>
      </c>
      <c r="L61" s="105"/>
      <c r="M61" s="105"/>
      <c r="N61" s="105"/>
    </row>
    <row r="62" spans="1:14" ht="13.5" customHeight="1">
      <c r="A62" s="129">
        <v>2020</v>
      </c>
      <c r="B62" s="124" t="s">
        <v>119</v>
      </c>
      <c r="C62" s="124" t="s">
        <v>16</v>
      </c>
      <c r="D62" s="124"/>
      <c r="E62" s="125" t="s">
        <v>51</v>
      </c>
      <c r="F62" s="125" t="s">
        <v>87</v>
      </c>
      <c r="G62" s="125" t="s">
        <v>41</v>
      </c>
      <c r="H62" s="125"/>
      <c r="I62" s="126" t="s">
        <v>103</v>
      </c>
      <c r="J62" s="125" t="s">
        <v>129</v>
      </c>
      <c r="L62" s="105"/>
      <c r="M62" s="105"/>
      <c r="N62" s="105"/>
    </row>
    <row r="63" spans="1:14" ht="13.5" customHeight="1">
      <c r="A63" s="130">
        <v>2020</v>
      </c>
      <c r="B63" s="113" t="s">
        <v>119</v>
      </c>
      <c r="C63" s="113" t="s">
        <v>16</v>
      </c>
      <c r="D63" s="113"/>
      <c r="E63" s="114" t="s">
        <v>44</v>
      </c>
      <c r="F63" s="114" t="s">
        <v>88</v>
      </c>
      <c r="G63" s="114" t="s">
        <v>606</v>
      </c>
      <c r="H63" s="114"/>
      <c r="I63" s="115" t="s">
        <v>102</v>
      </c>
      <c r="J63" s="116" t="s">
        <v>129</v>
      </c>
      <c r="L63" s="105"/>
      <c r="M63" s="105"/>
      <c r="N63" s="105"/>
    </row>
    <row r="64" spans="1:14" ht="13.5" customHeight="1">
      <c r="A64" s="130">
        <v>2020</v>
      </c>
      <c r="B64" s="113" t="s">
        <v>119</v>
      </c>
      <c r="C64" s="113" t="s">
        <v>16</v>
      </c>
      <c r="D64" s="113"/>
      <c r="E64" s="114" t="s">
        <v>606</v>
      </c>
      <c r="F64" s="114" t="s">
        <v>88</v>
      </c>
      <c r="G64" s="114" t="s">
        <v>44</v>
      </c>
      <c r="H64" s="114"/>
      <c r="I64" s="115" t="s">
        <v>102</v>
      </c>
      <c r="J64" s="116" t="s">
        <v>129</v>
      </c>
      <c r="L64" s="105"/>
      <c r="M64" s="105"/>
      <c r="N64" s="105"/>
    </row>
    <row r="65" spans="1:14" ht="13.5" customHeight="1">
      <c r="A65" s="129">
        <v>2020</v>
      </c>
      <c r="B65" s="143" t="s">
        <v>121</v>
      </c>
      <c r="C65" s="124" t="s">
        <v>16</v>
      </c>
      <c r="D65" s="124"/>
      <c r="E65" s="125" t="s">
        <v>42</v>
      </c>
      <c r="F65" s="125" t="s">
        <v>87</v>
      </c>
      <c r="G65" s="125" t="s">
        <v>50</v>
      </c>
      <c r="H65" s="125"/>
      <c r="I65" s="126" t="s">
        <v>103</v>
      </c>
      <c r="J65" s="141" t="s">
        <v>126</v>
      </c>
      <c r="L65" s="105"/>
      <c r="M65" s="105"/>
      <c r="N65" s="105"/>
    </row>
    <row r="66" spans="1:14" ht="13.5" customHeight="1">
      <c r="A66" s="129">
        <v>2020</v>
      </c>
      <c r="B66" s="124" t="s">
        <v>121</v>
      </c>
      <c r="C66" s="124" t="s">
        <v>16</v>
      </c>
      <c r="D66" s="124"/>
      <c r="E66" s="125" t="s">
        <v>50</v>
      </c>
      <c r="F66" s="125" t="s">
        <v>87</v>
      </c>
      <c r="G66" s="125" t="s">
        <v>42</v>
      </c>
      <c r="H66" s="125"/>
      <c r="I66" s="126" t="s">
        <v>103</v>
      </c>
      <c r="J66" s="125" t="s">
        <v>126</v>
      </c>
      <c r="L66" s="105"/>
      <c r="M66" s="105"/>
      <c r="N66" s="105"/>
    </row>
    <row r="67" spans="1:14" ht="13.5" customHeight="1">
      <c r="A67" s="130">
        <v>2020</v>
      </c>
      <c r="B67" s="113" t="s">
        <v>121</v>
      </c>
      <c r="C67" s="113" t="s">
        <v>16</v>
      </c>
      <c r="D67" s="113"/>
      <c r="E67" s="114" t="s">
        <v>43</v>
      </c>
      <c r="F67" s="114" t="s">
        <v>88</v>
      </c>
      <c r="G67" s="114" t="s">
        <v>52</v>
      </c>
      <c r="H67" s="114"/>
      <c r="I67" s="115" t="s">
        <v>102</v>
      </c>
      <c r="J67" s="116" t="s">
        <v>126</v>
      </c>
      <c r="L67" s="105"/>
      <c r="M67" s="105"/>
      <c r="N67" s="105"/>
    </row>
    <row r="68" spans="1:14" ht="13.5" customHeight="1">
      <c r="A68" s="130">
        <v>2020</v>
      </c>
      <c r="B68" s="113" t="s">
        <v>121</v>
      </c>
      <c r="C68" s="113" t="s">
        <v>16</v>
      </c>
      <c r="D68" s="113"/>
      <c r="E68" s="114" t="s">
        <v>52</v>
      </c>
      <c r="F68" s="114" t="s">
        <v>88</v>
      </c>
      <c r="G68" s="114" t="s">
        <v>43</v>
      </c>
      <c r="H68" s="114"/>
      <c r="I68" s="115" t="s">
        <v>102</v>
      </c>
      <c r="J68" s="116" t="s">
        <v>126</v>
      </c>
      <c r="L68" s="105"/>
      <c r="M68" s="105"/>
      <c r="N68" s="105"/>
    </row>
    <row r="69" spans="1:14" ht="13.5" customHeight="1">
      <c r="A69" s="129">
        <v>2020</v>
      </c>
      <c r="B69" s="124" t="s">
        <v>123</v>
      </c>
      <c r="C69" s="124" t="s">
        <v>124</v>
      </c>
      <c r="D69" s="124"/>
      <c r="E69" s="125" t="s">
        <v>41</v>
      </c>
      <c r="F69" s="125" t="s">
        <v>87</v>
      </c>
      <c r="G69" s="125"/>
      <c r="H69" s="125" t="s">
        <v>44</v>
      </c>
      <c r="I69" s="126" t="s">
        <v>102</v>
      </c>
      <c r="J69" s="141" t="s">
        <v>130</v>
      </c>
      <c r="L69" s="105"/>
      <c r="M69" s="105"/>
      <c r="N69" s="105"/>
    </row>
    <row r="70" spans="1:14" ht="13.5" customHeight="1">
      <c r="A70" s="130">
        <v>2020</v>
      </c>
      <c r="B70" s="113" t="s">
        <v>123</v>
      </c>
      <c r="C70" s="113" t="s">
        <v>124</v>
      </c>
      <c r="D70" s="113"/>
      <c r="E70" s="114" t="s">
        <v>44</v>
      </c>
      <c r="F70" s="114" t="s">
        <v>88</v>
      </c>
      <c r="G70" s="114"/>
      <c r="H70" s="114" t="s">
        <v>41</v>
      </c>
      <c r="I70" s="115" t="s">
        <v>103</v>
      </c>
      <c r="J70" s="116" t="s">
        <v>130</v>
      </c>
      <c r="L70" s="105"/>
      <c r="M70" s="105"/>
      <c r="N70" s="105"/>
    </row>
    <row r="71" spans="1:14" ht="13.5" customHeight="1">
      <c r="A71" s="129">
        <v>2020</v>
      </c>
      <c r="B71" s="124" t="s">
        <v>123</v>
      </c>
      <c r="C71" s="124" t="s">
        <v>124</v>
      </c>
      <c r="D71" s="124"/>
      <c r="E71" s="125" t="s">
        <v>42</v>
      </c>
      <c r="F71" s="125" t="s">
        <v>87</v>
      </c>
      <c r="G71" s="125"/>
      <c r="H71" s="125" t="s">
        <v>43</v>
      </c>
      <c r="I71" s="126" t="s">
        <v>102</v>
      </c>
      <c r="J71" s="141" t="s">
        <v>128</v>
      </c>
      <c r="L71" s="105"/>
      <c r="M71" s="105"/>
      <c r="N71" s="105"/>
    </row>
    <row r="72" spans="1:14" ht="13.5" customHeight="1">
      <c r="A72" s="130">
        <v>2020</v>
      </c>
      <c r="B72" s="113" t="s">
        <v>123</v>
      </c>
      <c r="C72" s="113" t="s">
        <v>124</v>
      </c>
      <c r="D72" s="113"/>
      <c r="E72" s="114" t="s">
        <v>43</v>
      </c>
      <c r="F72" s="114" t="s">
        <v>88</v>
      </c>
      <c r="G72" s="114"/>
      <c r="H72" s="114" t="s">
        <v>42</v>
      </c>
      <c r="I72" s="115" t="s">
        <v>103</v>
      </c>
      <c r="J72" s="116" t="s">
        <v>128</v>
      </c>
      <c r="L72" s="105"/>
      <c r="M72" s="105"/>
      <c r="N72" s="105"/>
    </row>
    <row r="73" spans="1:14" ht="13.5" customHeight="1">
      <c r="A73" s="129">
        <v>2020</v>
      </c>
      <c r="B73" s="124" t="s">
        <v>123</v>
      </c>
      <c r="C73" s="124" t="s">
        <v>124</v>
      </c>
      <c r="D73" s="124"/>
      <c r="E73" s="125" t="s">
        <v>50</v>
      </c>
      <c r="F73" s="125" t="s">
        <v>87</v>
      </c>
      <c r="G73" s="125"/>
      <c r="H73" s="125" t="s">
        <v>606</v>
      </c>
      <c r="I73" s="126" t="s">
        <v>103</v>
      </c>
      <c r="J73" s="141" t="s">
        <v>129</v>
      </c>
      <c r="L73" s="105"/>
      <c r="M73" s="105"/>
      <c r="N73" s="105"/>
    </row>
    <row r="74" spans="1:14" ht="13.5" customHeight="1">
      <c r="A74" s="130">
        <v>2020</v>
      </c>
      <c r="B74" s="113" t="s">
        <v>123</v>
      </c>
      <c r="C74" s="113" t="s">
        <v>124</v>
      </c>
      <c r="D74" s="113"/>
      <c r="E74" s="114" t="s">
        <v>606</v>
      </c>
      <c r="F74" s="114" t="s">
        <v>88</v>
      </c>
      <c r="G74" s="114"/>
      <c r="H74" s="114" t="s">
        <v>50</v>
      </c>
      <c r="I74" s="115" t="s">
        <v>102</v>
      </c>
      <c r="J74" s="141" t="s">
        <v>129</v>
      </c>
      <c r="L74" s="105"/>
      <c r="M74" s="105"/>
      <c r="N74" s="105"/>
    </row>
    <row r="75" spans="1:14" ht="13.5" customHeight="1">
      <c r="A75" s="129">
        <v>2020</v>
      </c>
      <c r="B75" s="124" t="s">
        <v>123</v>
      </c>
      <c r="C75" s="124" t="s">
        <v>124</v>
      </c>
      <c r="D75" s="124"/>
      <c r="E75" s="125" t="s">
        <v>51</v>
      </c>
      <c r="F75" s="125" t="s">
        <v>87</v>
      </c>
      <c r="G75" s="125"/>
      <c r="H75" s="125" t="s">
        <v>52</v>
      </c>
      <c r="I75" s="126" t="s">
        <v>102</v>
      </c>
      <c r="J75" s="141" t="s">
        <v>127</v>
      </c>
      <c r="L75" s="105"/>
      <c r="M75" s="105"/>
      <c r="N75" s="105"/>
    </row>
    <row r="76" spans="1:14" ht="13.5" customHeight="1">
      <c r="A76" s="130">
        <v>2020</v>
      </c>
      <c r="B76" s="113" t="s">
        <v>123</v>
      </c>
      <c r="C76" s="113" t="s">
        <v>124</v>
      </c>
      <c r="D76" s="113"/>
      <c r="E76" s="114" t="s">
        <v>52</v>
      </c>
      <c r="F76" s="114" t="s">
        <v>88</v>
      </c>
      <c r="G76" s="114"/>
      <c r="H76" s="114" t="s">
        <v>51</v>
      </c>
      <c r="I76" s="115" t="s">
        <v>103</v>
      </c>
      <c r="J76" s="116" t="s">
        <v>127</v>
      </c>
      <c r="L76" s="105"/>
      <c r="M76" s="105"/>
      <c r="N76" s="105"/>
    </row>
    <row r="77" spans="1:14" ht="13.5" customHeight="1">
      <c r="A77" s="129">
        <v>2021</v>
      </c>
      <c r="B77" s="143" t="s">
        <v>114</v>
      </c>
      <c r="C77" s="124" t="s">
        <v>115</v>
      </c>
      <c r="D77" s="124"/>
      <c r="E77" s="125" t="s">
        <v>42</v>
      </c>
      <c r="F77" s="125" t="s">
        <v>87</v>
      </c>
      <c r="G77" s="125" t="s">
        <v>50</v>
      </c>
      <c r="H77" s="125"/>
      <c r="I77" s="126" t="s">
        <v>103</v>
      </c>
      <c r="J77" s="141" t="s">
        <v>131</v>
      </c>
      <c r="L77" s="105"/>
      <c r="M77" s="105"/>
      <c r="N77" s="105"/>
    </row>
    <row r="78" spans="1:14" ht="13.5" customHeight="1">
      <c r="A78" s="129">
        <v>2021</v>
      </c>
      <c r="B78" s="143" t="s">
        <v>114</v>
      </c>
      <c r="C78" s="124" t="s">
        <v>115</v>
      </c>
      <c r="D78" s="124"/>
      <c r="E78" s="125" t="s">
        <v>50</v>
      </c>
      <c r="F78" s="125" t="s">
        <v>87</v>
      </c>
      <c r="G78" s="125" t="s">
        <v>42</v>
      </c>
      <c r="H78" s="125"/>
      <c r="I78" s="126" t="s">
        <v>103</v>
      </c>
      <c r="J78" s="141" t="s">
        <v>131</v>
      </c>
      <c r="L78" s="105"/>
      <c r="M78" s="105"/>
      <c r="N78" s="105"/>
    </row>
    <row r="79" spans="1:14" ht="13.5" customHeight="1">
      <c r="A79" s="130">
        <v>2021</v>
      </c>
      <c r="B79" s="143" t="s">
        <v>114</v>
      </c>
      <c r="C79" s="113" t="s">
        <v>115</v>
      </c>
      <c r="D79" s="113"/>
      <c r="E79" s="114" t="s">
        <v>606</v>
      </c>
      <c r="F79" s="114" t="s">
        <v>88</v>
      </c>
      <c r="G79" s="114" t="s">
        <v>44</v>
      </c>
      <c r="H79" s="114"/>
      <c r="I79" s="115" t="s">
        <v>102</v>
      </c>
      <c r="J79" s="103" t="s">
        <v>131</v>
      </c>
      <c r="L79" s="105"/>
      <c r="M79" s="105"/>
      <c r="N79" s="105"/>
    </row>
    <row r="80" spans="1:14" ht="13.5" customHeight="1">
      <c r="A80" s="130">
        <v>2021</v>
      </c>
      <c r="B80" s="143" t="s">
        <v>114</v>
      </c>
      <c r="C80" s="113" t="s">
        <v>115</v>
      </c>
      <c r="D80" s="113"/>
      <c r="E80" s="114" t="s">
        <v>44</v>
      </c>
      <c r="F80" s="114" t="s">
        <v>88</v>
      </c>
      <c r="G80" s="114" t="s">
        <v>606</v>
      </c>
      <c r="H80" s="114"/>
      <c r="I80" s="115" t="s">
        <v>102</v>
      </c>
      <c r="J80" s="103" t="s">
        <v>131</v>
      </c>
      <c r="L80" s="105"/>
      <c r="M80" s="105"/>
      <c r="N80" s="105"/>
    </row>
    <row r="81" spans="1:14" ht="13.5" customHeight="1">
      <c r="A81" s="129">
        <v>2021</v>
      </c>
      <c r="B81" s="143" t="s">
        <v>117</v>
      </c>
      <c r="C81" s="124" t="s">
        <v>115</v>
      </c>
      <c r="D81" s="124"/>
      <c r="E81" s="125" t="s">
        <v>41</v>
      </c>
      <c r="F81" s="125" t="s">
        <v>87</v>
      </c>
      <c r="G81" s="125" t="s">
        <v>51</v>
      </c>
      <c r="H81" s="125"/>
      <c r="I81" s="126" t="s">
        <v>103</v>
      </c>
      <c r="J81" s="141" t="s">
        <v>126</v>
      </c>
      <c r="L81" s="105"/>
      <c r="M81" s="105"/>
      <c r="N81" s="105"/>
    </row>
    <row r="82" spans="1:14" ht="13.5" customHeight="1">
      <c r="A82" s="129">
        <v>2021</v>
      </c>
      <c r="B82" s="124" t="s">
        <v>117</v>
      </c>
      <c r="C82" s="124" t="s">
        <v>115</v>
      </c>
      <c r="D82" s="124"/>
      <c r="E82" s="125" t="s">
        <v>51</v>
      </c>
      <c r="F82" s="125" t="s">
        <v>87</v>
      </c>
      <c r="G82" s="125" t="s">
        <v>41</v>
      </c>
      <c r="H82" s="125"/>
      <c r="I82" s="126" t="s">
        <v>103</v>
      </c>
      <c r="J82" s="141" t="s">
        <v>126</v>
      </c>
      <c r="L82" s="105"/>
      <c r="M82" s="105"/>
      <c r="N82" s="105"/>
    </row>
    <row r="83" spans="1:14" ht="13.5" customHeight="1">
      <c r="A83" s="130">
        <v>2021</v>
      </c>
      <c r="B83" s="113" t="s">
        <v>117</v>
      </c>
      <c r="C83" s="113" t="s">
        <v>115</v>
      </c>
      <c r="D83" s="113"/>
      <c r="E83" s="114" t="s">
        <v>43</v>
      </c>
      <c r="F83" s="114" t="s">
        <v>88</v>
      </c>
      <c r="G83" s="114" t="s">
        <v>52</v>
      </c>
      <c r="H83" s="114"/>
      <c r="I83" s="115" t="s">
        <v>102</v>
      </c>
      <c r="J83" s="103" t="s">
        <v>126</v>
      </c>
      <c r="L83" s="105"/>
      <c r="M83" s="105"/>
      <c r="N83" s="105"/>
    </row>
    <row r="84" spans="1:14" ht="13.5" customHeight="1">
      <c r="A84" s="130">
        <v>2021</v>
      </c>
      <c r="B84" s="113" t="s">
        <v>117</v>
      </c>
      <c r="C84" s="113" t="s">
        <v>115</v>
      </c>
      <c r="D84" s="113"/>
      <c r="E84" s="114" t="s">
        <v>52</v>
      </c>
      <c r="F84" s="114" t="s">
        <v>88</v>
      </c>
      <c r="G84" s="114" t="s">
        <v>43</v>
      </c>
      <c r="H84" s="114"/>
      <c r="I84" s="115" t="s">
        <v>102</v>
      </c>
      <c r="J84" s="103" t="s">
        <v>126</v>
      </c>
      <c r="L84" s="105"/>
      <c r="M84" s="105"/>
      <c r="N84" s="105"/>
    </row>
    <row r="85" spans="1:14" ht="13.5" customHeight="1">
      <c r="A85" s="129">
        <v>2021</v>
      </c>
      <c r="B85" s="143" t="s">
        <v>119</v>
      </c>
      <c r="C85" s="124" t="s">
        <v>16</v>
      </c>
      <c r="D85" s="124"/>
      <c r="E85" s="125" t="s">
        <v>42</v>
      </c>
      <c r="F85" s="125" t="s">
        <v>87</v>
      </c>
      <c r="G85" s="125" t="s">
        <v>51</v>
      </c>
      <c r="H85" s="125"/>
      <c r="I85" s="126" t="s">
        <v>103</v>
      </c>
      <c r="J85" s="141" t="s">
        <v>132</v>
      </c>
      <c r="L85" s="105"/>
      <c r="M85" s="105"/>
      <c r="N85" s="105"/>
    </row>
    <row r="86" spans="1:14" ht="13.5" customHeight="1">
      <c r="A86" s="129">
        <v>2021</v>
      </c>
      <c r="B86" s="124" t="s">
        <v>119</v>
      </c>
      <c r="C86" s="124" t="s">
        <v>16</v>
      </c>
      <c r="D86" s="124"/>
      <c r="E86" s="125" t="s">
        <v>51</v>
      </c>
      <c r="F86" s="125" t="s">
        <v>87</v>
      </c>
      <c r="G86" s="125" t="s">
        <v>42</v>
      </c>
      <c r="H86" s="125"/>
      <c r="I86" s="126" t="s">
        <v>103</v>
      </c>
      <c r="J86" s="141" t="s">
        <v>132</v>
      </c>
      <c r="L86" s="105"/>
      <c r="M86" s="105"/>
      <c r="N86" s="105"/>
    </row>
    <row r="87" spans="1:14" ht="13.5" customHeight="1">
      <c r="A87" s="130">
        <v>2021</v>
      </c>
      <c r="B87" s="113" t="s">
        <v>119</v>
      </c>
      <c r="C87" s="113" t="s">
        <v>16</v>
      </c>
      <c r="D87" s="113"/>
      <c r="E87" s="114" t="s">
        <v>43</v>
      </c>
      <c r="F87" s="114" t="s">
        <v>88</v>
      </c>
      <c r="G87" s="114" t="s">
        <v>52</v>
      </c>
      <c r="H87" s="114"/>
      <c r="I87" s="115" t="s">
        <v>102</v>
      </c>
      <c r="J87" s="103" t="s">
        <v>132</v>
      </c>
      <c r="L87" s="105"/>
      <c r="M87" s="105"/>
      <c r="N87" s="105"/>
    </row>
    <row r="88" spans="1:14" ht="13.5" customHeight="1">
      <c r="A88" s="130">
        <v>2021</v>
      </c>
      <c r="B88" s="113" t="s">
        <v>119</v>
      </c>
      <c r="C88" s="113" t="s">
        <v>16</v>
      </c>
      <c r="D88" s="113"/>
      <c r="E88" s="114" t="s">
        <v>52</v>
      </c>
      <c r="F88" s="114" t="s">
        <v>88</v>
      </c>
      <c r="G88" s="114" t="s">
        <v>43</v>
      </c>
      <c r="H88" s="114"/>
      <c r="I88" s="115" t="s">
        <v>102</v>
      </c>
      <c r="J88" s="103" t="s">
        <v>132</v>
      </c>
      <c r="L88" s="105"/>
      <c r="M88" s="105"/>
      <c r="N88" s="105"/>
    </row>
    <row r="89" spans="1:14" ht="13.5" customHeight="1">
      <c r="A89" s="131">
        <v>2021</v>
      </c>
      <c r="B89" s="144" t="s">
        <v>121</v>
      </c>
      <c r="C89" s="126" t="s">
        <v>16</v>
      </c>
      <c r="D89" s="126"/>
      <c r="E89" s="127" t="s">
        <v>50</v>
      </c>
      <c r="F89" s="127" t="s">
        <v>87</v>
      </c>
      <c r="G89" s="127" t="s">
        <v>41</v>
      </c>
      <c r="H89" s="127"/>
      <c r="I89" s="126" t="s">
        <v>102</v>
      </c>
      <c r="J89" s="141" t="s">
        <v>133</v>
      </c>
      <c r="L89" s="105"/>
      <c r="M89" s="105"/>
      <c r="N89" s="105"/>
    </row>
    <row r="90" spans="1:14" ht="13.5" customHeight="1">
      <c r="A90" s="131">
        <v>2021</v>
      </c>
      <c r="B90" s="126" t="s">
        <v>121</v>
      </c>
      <c r="C90" s="126" t="s">
        <v>16</v>
      </c>
      <c r="D90" s="126"/>
      <c r="E90" s="127" t="s">
        <v>41</v>
      </c>
      <c r="F90" s="127" t="s">
        <v>87</v>
      </c>
      <c r="G90" s="127" t="s">
        <v>50</v>
      </c>
      <c r="H90" s="127"/>
      <c r="I90" s="126" t="s">
        <v>102</v>
      </c>
      <c r="J90" s="141" t="s">
        <v>133</v>
      </c>
      <c r="L90" s="105"/>
      <c r="M90" s="105"/>
      <c r="N90" s="105"/>
    </row>
    <row r="91" spans="1:14" ht="13.5" customHeight="1">
      <c r="A91" s="132">
        <v>2021</v>
      </c>
      <c r="B91" s="115" t="s">
        <v>121</v>
      </c>
      <c r="C91" s="115" t="s">
        <v>16</v>
      </c>
      <c r="D91" s="115"/>
      <c r="E91" s="117" t="s">
        <v>606</v>
      </c>
      <c r="F91" s="117" t="s">
        <v>88</v>
      </c>
      <c r="G91" s="117" t="s">
        <v>44</v>
      </c>
      <c r="H91" s="117"/>
      <c r="I91" s="115" t="s">
        <v>103</v>
      </c>
      <c r="J91" s="103" t="s">
        <v>133</v>
      </c>
      <c r="L91" s="105"/>
      <c r="M91" s="105"/>
      <c r="N91" s="105"/>
    </row>
    <row r="92" spans="1:14" ht="13.5" customHeight="1">
      <c r="A92" s="132">
        <v>2021</v>
      </c>
      <c r="B92" s="115" t="s">
        <v>121</v>
      </c>
      <c r="C92" s="115" t="s">
        <v>16</v>
      </c>
      <c r="D92" s="115"/>
      <c r="E92" s="117" t="s">
        <v>44</v>
      </c>
      <c r="F92" s="117" t="s">
        <v>88</v>
      </c>
      <c r="G92" s="117" t="s">
        <v>606</v>
      </c>
      <c r="H92" s="117"/>
      <c r="I92" s="115" t="s">
        <v>103</v>
      </c>
      <c r="J92" s="103" t="s">
        <v>133</v>
      </c>
      <c r="L92" s="105"/>
      <c r="M92" s="105"/>
      <c r="N92" s="105"/>
    </row>
    <row r="93" spans="1:14" ht="13.5" customHeight="1">
      <c r="A93" s="131">
        <v>2021</v>
      </c>
      <c r="B93" s="126" t="s">
        <v>123</v>
      </c>
      <c r="C93" s="126" t="s">
        <v>124</v>
      </c>
      <c r="D93" s="126"/>
      <c r="E93" s="127" t="s">
        <v>50</v>
      </c>
      <c r="F93" s="127" t="s">
        <v>87</v>
      </c>
      <c r="G93" s="127"/>
      <c r="H93" s="127" t="s">
        <v>52</v>
      </c>
      <c r="I93" s="126" t="s">
        <v>102</v>
      </c>
      <c r="J93" s="141" t="s">
        <v>134</v>
      </c>
      <c r="L93" s="105"/>
      <c r="M93" s="105"/>
      <c r="N93" s="105"/>
    </row>
    <row r="94" spans="1:14" ht="13.5" customHeight="1">
      <c r="A94" s="132">
        <v>2021</v>
      </c>
      <c r="B94" s="115" t="s">
        <v>123</v>
      </c>
      <c r="C94" s="115" t="s">
        <v>124</v>
      </c>
      <c r="D94" s="115"/>
      <c r="E94" s="117" t="s">
        <v>52</v>
      </c>
      <c r="F94" s="117" t="s">
        <v>88</v>
      </c>
      <c r="G94" s="117"/>
      <c r="H94" s="117" t="s">
        <v>50</v>
      </c>
      <c r="I94" s="115" t="s">
        <v>103</v>
      </c>
      <c r="J94" s="103" t="s">
        <v>134</v>
      </c>
      <c r="L94" s="105"/>
      <c r="M94" s="105"/>
      <c r="N94" s="105"/>
    </row>
    <row r="95" spans="1:14" ht="13.5" customHeight="1">
      <c r="A95" s="131">
        <v>2021</v>
      </c>
      <c r="B95" s="126" t="s">
        <v>123</v>
      </c>
      <c r="C95" s="126" t="s">
        <v>124</v>
      </c>
      <c r="D95" s="126"/>
      <c r="E95" s="127" t="s">
        <v>51</v>
      </c>
      <c r="F95" s="127" t="s">
        <v>87</v>
      </c>
      <c r="G95" s="127"/>
      <c r="H95" s="127" t="s">
        <v>606</v>
      </c>
      <c r="I95" s="126" t="s">
        <v>102</v>
      </c>
      <c r="J95" s="141" t="s">
        <v>127</v>
      </c>
      <c r="L95" s="105"/>
      <c r="M95" s="105"/>
      <c r="N95" s="105"/>
    </row>
    <row r="96" spans="1:14" ht="13.5" customHeight="1">
      <c r="A96" s="132">
        <v>2021</v>
      </c>
      <c r="B96" s="115" t="s">
        <v>123</v>
      </c>
      <c r="C96" s="115" t="s">
        <v>124</v>
      </c>
      <c r="D96" s="115"/>
      <c r="E96" s="117" t="s">
        <v>606</v>
      </c>
      <c r="F96" s="117" t="s">
        <v>88</v>
      </c>
      <c r="G96" s="117"/>
      <c r="H96" s="117" t="s">
        <v>51</v>
      </c>
      <c r="I96" s="115" t="s">
        <v>103</v>
      </c>
      <c r="J96" s="103" t="s">
        <v>127</v>
      </c>
      <c r="L96" s="105"/>
      <c r="M96" s="105"/>
      <c r="N96" s="105"/>
    </row>
    <row r="97" spans="1:14" ht="13.5" customHeight="1">
      <c r="A97" s="131">
        <v>2021</v>
      </c>
      <c r="B97" s="126" t="s">
        <v>123</v>
      </c>
      <c r="C97" s="126" t="s">
        <v>124</v>
      </c>
      <c r="D97" s="126"/>
      <c r="E97" s="127" t="s">
        <v>42</v>
      </c>
      <c r="F97" s="127" t="s">
        <v>87</v>
      </c>
      <c r="G97" s="127"/>
      <c r="H97" s="127" t="s">
        <v>44</v>
      </c>
      <c r="I97" s="126" t="s">
        <v>102</v>
      </c>
      <c r="J97" s="141" t="s">
        <v>135</v>
      </c>
      <c r="L97" s="105"/>
      <c r="M97" s="105"/>
      <c r="N97" s="105"/>
    </row>
    <row r="98" spans="1:14" ht="13.5" customHeight="1">
      <c r="A98" s="132">
        <v>2021</v>
      </c>
      <c r="B98" s="115" t="s">
        <v>123</v>
      </c>
      <c r="C98" s="115" t="s">
        <v>124</v>
      </c>
      <c r="D98" s="115"/>
      <c r="E98" s="117" t="s">
        <v>44</v>
      </c>
      <c r="F98" s="117" t="s">
        <v>88</v>
      </c>
      <c r="G98" s="117"/>
      <c r="H98" s="117" t="s">
        <v>42</v>
      </c>
      <c r="I98" s="115" t="s">
        <v>103</v>
      </c>
      <c r="J98" s="103" t="s">
        <v>135</v>
      </c>
      <c r="L98" s="105"/>
      <c r="M98" s="105"/>
      <c r="N98" s="105"/>
    </row>
    <row r="99" spans="1:14" ht="13.5" customHeight="1">
      <c r="A99" s="131">
        <v>2021</v>
      </c>
      <c r="B99" s="126" t="s">
        <v>123</v>
      </c>
      <c r="C99" s="126" t="s">
        <v>124</v>
      </c>
      <c r="D99" s="126"/>
      <c r="E99" s="127" t="s">
        <v>41</v>
      </c>
      <c r="F99" s="127" t="s">
        <v>87</v>
      </c>
      <c r="G99" s="127"/>
      <c r="H99" s="127" t="s">
        <v>43</v>
      </c>
      <c r="I99" s="126" t="s">
        <v>102</v>
      </c>
      <c r="J99" s="141" t="s">
        <v>136</v>
      </c>
      <c r="L99" s="105"/>
      <c r="M99" s="105"/>
      <c r="N99" s="105"/>
    </row>
    <row r="100" spans="1:14" ht="13.5" customHeight="1">
      <c r="A100" s="132">
        <v>2021</v>
      </c>
      <c r="B100" s="115" t="s">
        <v>123</v>
      </c>
      <c r="C100" s="115" t="s">
        <v>124</v>
      </c>
      <c r="D100" s="115"/>
      <c r="E100" s="117" t="s">
        <v>43</v>
      </c>
      <c r="F100" s="117" t="s">
        <v>88</v>
      </c>
      <c r="G100" s="117"/>
      <c r="H100" s="117" t="s">
        <v>41</v>
      </c>
      <c r="I100" s="115" t="s">
        <v>103</v>
      </c>
      <c r="J100" s="103" t="s">
        <v>136</v>
      </c>
      <c r="L100" s="105"/>
      <c r="M100" s="105"/>
      <c r="N100" s="105"/>
    </row>
    <row r="101" spans="1:14" ht="13.5" customHeight="1">
      <c r="A101" s="131">
        <v>2022</v>
      </c>
      <c r="B101" s="144" t="s">
        <v>114</v>
      </c>
      <c r="C101" s="126" t="s">
        <v>115</v>
      </c>
      <c r="D101" s="126"/>
      <c r="E101" s="127" t="s">
        <v>42</v>
      </c>
      <c r="F101" s="127" t="s">
        <v>87</v>
      </c>
      <c r="G101" s="127" t="s">
        <v>50</v>
      </c>
      <c r="H101" s="127"/>
      <c r="I101" s="126" t="s">
        <v>102</v>
      </c>
      <c r="J101" s="141" t="s">
        <v>137</v>
      </c>
      <c r="L101" s="105"/>
      <c r="M101" s="105"/>
      <c r="N101" s="105"/>
    </row>
    <row r="102" spans="1:14" ht="13.5" customHeight="1">
      <c r="A102" s="131">
        <v>2022</v>
      </c>
      <c r="B102" s="126" t="s">
        <v>114</v>
      </c>
      <c r="C102" s="126" t="s">
        <v>115</v>
      </c>
      <c r="D102" s="126"/>
      <c r="E102" s="127" t="s">
        <v>50</v>
      </c>
      <c r="F102" s="127" t="s">
        <v>87</v>
      </c>
      <c r="G102" s="127" t="s">
        <v>42</v>
      </c>
      <c r="H102" s="127"/>
      <c r="I102" s="126" t="s">
        <v>102</v>
      </c>
      <c r="J102" s="141" t="s">
        <v>137</v>
      </c>
      <c r="L102" s="105"/>
      <c r="M102" s="105"/>
      <c r="N102" s="105"/>
    </row>
    <row r="103" spans="1:14" ht="13.5" customHeight="1">
      <c r="A103" s="132">
        <v>2022</v>
      </c>
      <c r="B103" s="115" t="s">
        <v>114</v>
      </c>
      <c r="C103" s="115" t="s">
        <v>115</v>
      </c>
      <c r="D103" s="115"/>
      <c r="E103" s="117" t="s">
        <v>44</v>
      </c>
      <c r="F103" s="117" t="s">
        <v>88</v>
      </c>
      <c r="G103" s="117" t="s">
        <v>606</v>
      </c>
      <c r="H103" s="117"/>
      <c r="I103" s="115" t="s">
        <v>103</v>
      </c>
      <c r="J103" s="116" t="s">
        <v>137</v>
      </c>
      <c r="L103" s="105"/>
      <c r="M103" s="105"/>
      <c r="N103" s="105"/>
    </row>
    <row r="104" spans="1:14" ht="13.5" customHeight="1">
      <c r="A104" s="132">
        <v>2022</v>
      </c>
      <c r="B104" s="115" t="s">
        <v>114</v>
      </c>
      <c r="C104" s="115" t="s">
        <v>115</v>
      </c>
      <c r="D104" s="115"/>
      <c r="E104" s="117" t="s">
        <v>606</v>
      </c>
      <c r="F104" s="117" t="s">
        <v>88</v>
      </c>
      <c r="G104" s="117" t="s">
        <v>44</v>
      </c>
      <c r="H104" s="117"/>
      <c r="I104" s="115" t="s">
        <v>103</v>
      </c>
      <c r="J104" s="116" t="s">
        <v>137</v>
      </c>
      <c r="L104" s="105"/>
      <c r="M104" s="105"/>
      <c r="N104" s="105"/>
    </row>
    <row r="105" spans="1:14" ht="13.5" customHeight="1">
      <c r="A105" s="131">
        <v>2022</v>
      </c>
      <c r="B105" s="144" t="s">
        <v>117</v>
      </c>
      <c r="C105" s="126" t="s">
        <v>115</v>
      </c>
      <c r="D105" s="126"/>
      <c r="E105" s="127" t="s">
        <v>41</v>
      </c>
      <c r="F105" s="127" t="s">
        <v>87</v>
      </c>
      <c r="G105" s="127" t="s">
        <v>51</v>
      </c>
      <c r="H105" s="127"/>
      <c r="I105" s="126" t="s">
        <v>103</v>
      </c>
      <c r="J105" s="141" t="s">
        <v>116</v>
      </c>
      <c r="L105" s="105"/>
      <c r="M105" s="105"/>
      <c r="N105" s="105"/>
    </row>
    <row r="106" spans="1:14" ht="13.5" customHeight="1">
      <c r="A106" s="131">
        <v>2022</v>
      </c>
      <c r="B106" s="126" t="s">
        <v>117</v>
      </c>
      <c r="C106" s="126" t="s">
        <v>115</v>
      </c>
      <c r="D106" s="126"/>
      <c r="E106" s="127" t="s">
        <v>51</v>
      </c>
      <c r="F106" s="127" t="s">
        <v>87</v>
      </c>
      <c r="G106" s="127" t="s">
        <v>41</v>
      </c>
      <c r="H106" s="127"/>
      <c r="I106" s="126" t="s">
        <v>103</v>
      </c>
      <c r="J106" s="141" t="s">
        <v>116</v>
      </c>
      <c r="L106" s="105"/>
      <c r="M106" s="105"/>
      <c r="N106" s="105"/>
    </row>
    <row r="107" spans="1:14" ht="13.5" customHeight="1">
      <c r="A107" s="132">
        <v>2022</v>
      </c>
      <c r="B107" s="115" t="s">
        <v>117</v>
      </c>
      <c r="C107" s="115" t="s">
        <v>115</v>
      </c>
      <c r="D107" s="115"/>
      <c r="E107" s="117" t="s">
        <v>52</v>
      </c>
      <c r="F107" s="117" t="s">
        <v>88</v>
      </c>
      <c r="G107" s="117" t="s">
        <v>43</v>
      </c>
      <c r="H107" s="117"/>
      <c r="I107" s="115" t="s">
        <v>102</v>
      </c>
      <c r="J107" s="103" t="s">
        <v>116</v>
      </c>
      <c r="L107" s="105"/>
      <c r="M107" s="105"/>
      <c r="N107" s="105"/>
    </row>
    <row r="108" spans="1:14" ht="13.5" customHeight="1">
      <c r="A108" s="132">
        <v>2022</v>
      </c>
      <c r="B108" s="115" t="s">
        <v>117</v>
      </c>
      <c r="C108" s="115" t="s">
        <v>115</v>
      </c>
      <c r="D108" s="115"/>
      <c r="E108" s="117" t="s">
        <v>43</v>
      </c>
      <c r="F108" s="117" t="s">
        <v>88</v>
      </c>
      <c r="G108" s="117" t="s">
        <v>52</v>
      </c>
      <c r="H108" s="117"/>
      <c r="I108" s="115" t="s">
        <v>102</v>
      </c>
      <c r="J108" s="103" t="s">
        <v>116</v>
      </c>
      <c r="L108" s="105"/>
      <c r="M108" s="105"/>
      <c r="N108" s="105"/>
    </row>
    <row r="109" spans="1:14" ht="13.5" customHeight="1">
      <c r="A109" s="131">
        <v>2022</v>
      </c>
      <c r="B109" s="144" t="s">
        <v>119</v>
      </c>
      <c r="C109" s="126" t="s">
        <v>16</v>
      </c>
      <c r="D109" s="126"/>
      <c r="E109" s="127" t="s">
        <v>42</v>
      </c>
      <c r="F109" s="127" t="s">
        <v>87</v>
      </c>
      <c r="G109" s="127" t="s">
        <v>50</v>
      </c>
      <c r="H109" s="127"/>
      <c r="I109" s="126" t="s">
        <v>102</v>
      </c>
      <c r="J109" s="141" t="s">
        <v>138</v>
      </c>
      <c r="L109" s="105"/>
      <c r="M109" s="105"/>
      <c r="N109" s="105"/>
    </row>
    <row r="110" spans="1:14" ht="13.5" customHeight="1">
      <c r="A110" s="131">
        <v>2022</v>
      </c>
      <c r="B110" s="144" t="s">
        <v>119</v>
      </c>
      <c r="C110" s="126" t="s">
        <v>16</v>
      </c>
      <c r="D110" s="126"/>
      <c r="E110" s="127" t="s">
        <v>50</v>
      </c>
      <c r="F110" s="127" t="s">
        <v>87</v>
      </c>
      <c r="G110" s="127" t="s">
        <v>42</v>
      </c>
      <c r="H110" s="127"/>
      <c r="I110" s="126" t="s">
        <v>102</v>
      </c>
      <c r="J110" s="141" t="s">
        <v>138</v>
      </c>
      <c r="L110" s="105"/>
      <c r="M110" s="105"/>
      <c r="N110" s="105"/>
    </row>
    <row r="111" spans="1:14" ht="13.5" customHeight="1">
      <c r="A111" s="132">
        <v>2022</v>
      </c>
      <c r="B111" s="144" t="s">
        <v>119</v>
      </c>
      <c r="C111" s="115" t="s">
        <v>16</v>
      </c>
      <c r="D111" s="115"/>
      <c r="E111" s="117" t="s">
        <v>44</v>
      </c>
      <c r="F111" s="117" t="s">
        <v>88</v>
      </c>
      <c r="G111" s="117" t="s">
        <v>52</v>
      </c>
      <c r="H111" s="117"/>
      <c r="I111" s="115" t="s">
        <v>103</v>
      </c>
      <c r="J111" s="103" t="s">
        <v>138</v>
      </c>
      <c r="L111" s="105"/>
      <c r="M111" s="105"/>
      <c r="N111" s="105"/>
    </row>
    <row r="112" spans="1:14" ht="13.5" customHeight="1">
      <c r="A112" s="132">
        <v>2022</v>
      </c>
      <c r="B112" s="144" t="s">
        <v>119</v>
      </c>
      <c r="C112" s="115" t="s">
        <v>16</v>
      </c>
      <c r="D112" s="115"/>
      <c r="E112" s="117" t="s">
        <v>52</v>
      </c>
      <c r="F112" s="117" t="s">
        <v>88</v>
      </c>
      <c r="G112" s="117" t="s">
        <v>44</v>
      </c>
      <c r="H112" s="117"/>
      <c r="I112" s="115" t="s">
        <v>103</v>
      </c>
      <c r="J112" s="103" t="s">
        <v>138</v>
      </c>
      <c r="L112" s="105"/>
      <c r="M112" s="105"/>
      <c r="N112" s="105"/>
    </row>
    <row r="113" spans="1:14" ht="13.5" customHeight="1">
      <c r="A113" s="131">
        <v>2022</v>
      </c>
      <c r="B113" s="144" t="s">
        <v>121</v>
      </c>
      <c r="C113" s="126" t="s">
        <v>16</v>
      </c>
      <c r="D113" s="126"/>
      <c r="E113" s="127" t="s">
        <v>41</v>
      </c>
      <c r="F113" s="127" t="s">
        <v>87</v>
      </c>
      <c r="G113" s="127" t="s">
        <v>51</v>
      </c>
      <c r="H113" s="127"/>
      <c r="I113" s="126" t="s">
        <v>103</v>
      </c>
      <c r="J113" s="141" t="s">
        <v>139</v>
      </c>
      <c r="L113" s="105"/>
      <c r="M113" s="105"/>
      <c r="N113" s="105"/>
    </row>
    <row r="114" spans="1:14" ht="13.5" customHeight="1">
      <c r="A114" s="131">
        <v>2022</v>
      </c>
      <c r="B114" s="126" t="s">
        <v>121</v>
      </c>
      <c r="C114" s="126" t="s">
        <v>16</v>
      </c>
      <c r="D114" s="126"/>
      <c r="E114" s="127" t="s">
        <v>51</v>
      </c>
      <c r="F114" s="127" t="s">
        <v>87</v>
      </c>
      <c r="G114" s="127" t="s">
        <v>41</v>
      </c>
      <c r="H114" s="127"/>
      <c r="I114" s="126" t="s">
        <v>103</v>
      </c>
      <c r="J114" s="141" t="s">
        <v>139</v>
      </c>
      <c r="L114" s="105"/>
      <c r="M114" s="105"/>
      <c r="N114" s="105"/>
    </row>
    <row r="115" spans="1:14" ht="13.5" customHeight="1">
      <c r="A115" s="132">
        <v>2022</v>
      </c>
      <c r="B115" s="115" t="s">
        <v>121</v>
      </c>
      <c r="C115" s="115" t="s">
        <v>16</v>
      </c>
      <c r="D115" s="115"/>
      <c r="E115" s="117" t="s">
        <v>606</v>
      </c>
      <c r="F115" s="117" t="s">
        <v>88</v>
      </c>
      <c r="G115" s="117" t="s">
        <v>43</v>
      </c>
      <c r="H115" s="117"/>
      <c r="I115" s="115" t="s">
        <v>102</v>
      </c>
      <c r="J115" s="103" t="s">
        <v>139</v>
      </c>
      <c r="L115" s="105"/>
      <c r="M115" s="105"/>
      <c r="N115" s="105"/>
    </row>
    <row r="116" spans="1:14" ht="13.5" customHeight="1">
      <c r="A116" s="132">
        <v>2022</v>
      </c>
      <c r="B116" s="115" t="s">
        <v>121</v>
      </c>
      <c r="C116" s="115" t="s">
        <v>16</v>
      </c>
      <c r="D116" s="115"/>
      <c r="E116" s="117" t="s">
        <v>43</v>
      </c>
      <c r="F116" s="117" t="s">
        <v>88</v>
      </c>
      <c r="G116" s="117" t="s">
        <v>606</v>
      </c>
      <c r="H116" s="117"/>
      <c r="I116" s="115" t="s">
        <v>102</v>
      </c>
      <c r="J116" s="103" t="s">
        <v>139</v>
      </c>
      <c r="L116" s="105"/>
      <c r="M116" s="105"/>
      <c r="N116" s="105"/>
    </row>
    <row r="117" spans="1:14" ht="13.5" customHeight="1">
      <c r="A117" s="131">
        <v>2022</v>
      </c>
      <c r="B117" s="126" t="s">
        <v>123</v>
      </c>
      <c r="C117" s="126" t="s">
        <v>124</v>
      </c>
      <c r="D117" s="126"/>
      <c r="E117" s="127" t="s">
        <v>51</v>
      </c>
      <c r="F117" s="127" t="s">
        <v>87</v>
      </c>
      <c r="G117" s="127"/>
      <c r="H117" s="142" t="s">
        <v>52</v>
      </c>
      <c r="I117" s="126" t="s">
        <v>103</v>
      </c>
      <c r="J117" s="141" t="s">
        <v>140</v>
      </c>
      <c r="L117" s="105"/>
      <c r="M117" s="105"/>
      <c r="N117" s="105"/>
    </row>
    <row r="118" spans="1:14" ht="13.5" customHeight="1">
      <c r="A118" s="132">
        <v>2022</v>
      </c>
      <c r="B118" s="115" t="s">
        <v>123</v>
      </c>
      <c r="C118" s="115" t="s">
        <v>124</v>
      </c>
      <c r="D118" s="115"/>
      <c r="E118" s="102" t="s">
        <v>52</v>
      </c>
      <c r="F118" s="117" t="s">
        <v>88</v>
      </c>
      <c r="G118" s="117"/>
      <c r="H118" s="117" t="s">
        <v>51</v>
      </c>
      <c r="I118" s="115" t="s">
        <v>102</v>
      </c>
      <c r="J118" s="116" t="s">
        <v>140</v>
      </c>
      <c r="L118" s="105"/>
      <c r="M118" s="105"/>
      <c r="N118" s="105"/>
    </row>
    <row r="119" spans="1:14" ht="13.5" customHeight="1">
      <c r="A119" s="131">
        <v>2022</v>
      </c>
      <c r="B119" s="126" t="s">
        <v>123</v>
      </c>
      <c r="C119" s="126" t="s">
        <v>124</v>
      </c>
      <c r="D119" s="126"/>
      <c r="E119" s="127" t="s">
        <v>50</v>
      </c>
      <c r="F119" s="127" t="s">
        <v>87</v>
      </c>
      <c r="G119" s="127"/>
      <c r="H119" s="142" t="s">
        <v>606</v>
      </c>
      <c r="I119" s="126" t="s">
        <v>103</v>
      </c>
      <c r="J119" s="141" t="s">
        <v>131</v>
      </c>
      <c r="L119" s="105"/>
      <c r="M119" s="105"/>
      <c r="N119" s="105"/>
    </row>
    <row r="120" spans="1:14" ht="13.5" customHeight="1">
      <c r="A120" s="132">
        <v>2022</v>
      </c>
      <c r="B120" s="115" t="s">
        <v>123</v>
      </c>
      <c r="C120" s="115" t="s">
        <v>124</v>
      </c>
      <c r="D120" s="115"/>
      <c r="E120" s="102" t="s">
        <v>606</v>
      </c>
      <c r="F120" s="117" t="s">
        <v>88</v>
      </c>
      <c r="G120" s="117"/>
      <c r="H120" s="117" t="s">
        <v>50</v>
      </c>
      <c r="I120" s="115" t="s">
        <v>102</v>
      </c>
      <c r="J120" s="103" t="s">
        <v>131</v>
      </c>
      <c r="L120" s="105"/>
      <c r="M120" s="105"/>
      <c r="N120" s="105"/>
    </row>
    <row r="121" spans="1:14" ht="13.5" customHeight="1">
      <c r="A121" s="131">
        <v>2022</v>
      </c>
      <c r="B121" s="126" t="s">
        <v>123</v>
      </c>
      <c r="C121" s="126" t="s">
        <v>124</v>
      </c>
      <c r="D121" s="126"/>
      <c r="E121" s="127" t="s">
        <v>42</v>
      </c>
      <c r="F121" s="127" t="s">
        <v>87</v>
      </c>
      <c r="G121" s="127"/>
      <c r="H121" s="127" t="s">
        <v>44</v>
      </c>
      <c r="I121" s="126" t="s">
        <v>102</v>
      </c>
      <c r="J121" s="141" t="s">
        <v>141</v>
      </c>
      <c r="L121" s="105"/>
      <c r="M121" s="105"/>
      <c r="N121" s="105"/>
    </row>
    <row r="122" spans="1:14" ht="13.5" customHeight="1">
      <c r="A122" s="132">
        <v>2022</v>
      </c>
      <c r="B122" s="115" t="s">
        <v>123</v>
      </c>
      <c r="C122" s="115" t="s">
        <v>124</v>
      </c>
      <c r="D122" s="115"/>
      <c r="E122" s="117" t="s">
        <v>44</v>
      </c>
      <c r="F122" s="117" t="s">
        <v>88</v>
      </c>
      <c r="G122" s="117"/>
      <c r="H122" s="117" t="s">
        <v>42</v>
      </c>
      <c r="I122" s="115" t="s">
        <v>103</v>
      </c>
      <c r="J122" s="103" t="s">
        <v>141</v>
      </c>
      <c r="L122" s="105"/>
      <c r="M122" s="105"/>
      <c r="N122" s="105"/>
    </row>
    <row r="123" spans="1:14" ht="13.5" customHeight="1">
      <c r="A123" s="131">
        <v>2022</v>
      </c>
      <c r="B123" s="126" t="s">
        <v>123</v>
      </c>
      <c r="C123" s="126" t="s">
        <v>124</v>
      </c>
      <c r="D123" s="126"/>
      <c r="E123" s="127" t="s">
        <v>41</v>
      </c>
      <c r="F123" s="127" t="s">
        <v>87</v>
      </c>
      <c r="G123" s="127"/>
      <c r="H123" s="127" t="s">
        <v>43</v>
      </c>
      <c r="I123" s="126" t="s">
        <v>104</v>
      </c>
      <c r="J123" s="141" t="s">
        <v>125</v>
      </c>
      <c r="L123" s="105"/>
      <c r="M123" s="105"/>
      <c r="N123" s="105"/>
    </row>
    <row r="124" spans="1:14" ht="13.5" customHeight="1">
      <c r="A124" s="132">
        <v>2022</v>
      </c>
      <c r="B124" s="115" t="s">
        <v>123</v>
      </c>
      <c r="C124" s="115" t="s">
        <v>124</v>
      </c>
      <c r="D124" s="115"/>
      <c r="E124" s="117" t="s">
        <v>43</v>
      </c>
      <c r="F124" s="117" t="s">
        <v>88</v>
      </c>
      <c r="G124" s="117"/>
      <c r="H124" s="117" t="s">
        <v>41</v>
      </c>
      <c r="I124" s="115" t="s">
        <v>104</v>
      </c>
      <c r="J124" s="103" t="s">
        <v>125</v>
      </c>
      <c r="L124" s="105"/>
      <c r="M124" s="105"/>
      <c r="N124" s="105"/>
    </row>
    <row r="125" spans="1:14" ht="13.5" customHeight="1">
      <c r="A125" s="131">
        <v>2025</v>
      </c>
      <c r="B125" s="144" t="s">
        <v>114</v>
      </c>
      <c r="C125" s="126" t="s">
        <v>115</v>
      </c>
      <c r="D125" s="126"/>
      <c r="E125" s="127" t="s">
        <v>42</v>
      </c>
      <c r="F125" s="127" t="s">
        <v>87</v>
      </c>
      <c r="G125" s="127" t="s">
        <v>51</v>
      </c>
      <c r="H125" s="127"/>
      <c r="I125" s="126" t="s">
        <v>102</v>
      </c>
      <c r="J125" s="125" t="s">
        <v>135</v>
      </c>
      <c r="L125" s="105"/>
      <c r="M125" s="105"/>
      <c r="N125" s="105"/>
    </row>
    <row r="126" spans="1:14" ht="13.5" customHeight="1">
      <c r="A126" s="131">
        <v>2025</v>
      </c>
      <c r="B126" s="126" t="s">
        <v>114</v>
      </c>
      <c r="C126" s="126" t="s">
        <v>115</v>
      </c>
      <c r="D126" s="126"/>
      <c r="E126" s="127" t="s">
        <v>51</v>
      </c>
      <c r="F126" s="127" t="s">
        <v>87</v>
      </c>
      <c r="G126" s="127" t="s">
        <v>42</v>
      </c>
      <c r="H126" s="127"/>
      <c r="I126" s="126" t="s">
        <v>102</v>
      </c>
      <c r="J126" s="125" t="s">
        <v>135</v>
      </c>
      <c r="L126" s="105"/>
      <c r="M126" s="105"/>
      <c r="N126" s="105"/>
    </row>
    <row r="127" spans="1:14" ht="13.5" customHeight="1">
      <c r="A127" s="132">
        <v>2025</v>
      </c>
      <c r="B127" s="115" t="s">
        <v>114</v>
      </c>
      <c r="C127" s="115" t="s">
        <v>115</v>
      </c>
      <c r="D127" s="115"/>
      <c r="E127" s="117" t="s">
        <v>43</v>
      </c>
      <c r="F127" s="117" t="s">
        <v>88</v>
      </c>
      <c r="G127" s="117" t="s">
        <v>52</v>
      </c>
      <c r="H127" s="117"/>
      <c r="I127" s="115" t="s">
        <v>103</v>
      </c>
      <c r="J127" s="116" t="s">
        <v>135</v>
      </c>
      <c r="L127" s="105"/>
      <c r="M127" s="105"/>
      <c r="N127" s="105"/>
    </row>
    <row r="128" spans="1:14" ht="13.5" customHeight="1">
      <c r="A128" s="132">
        <v>2025</v>
      </c>
      <c r="B128" s="115" t="s">
        <v>114</v>
      </c>
      <c r="C128" s="115" t="s">
        <v>115</v>
      </c>
      <c r="D128" s="115"/>
      <c r="E128" s="117" t="s">
        <v>52</v>
      </c>
      <c r="F128" s="117" t="s">
        <v>88</v>
      </c>
      <c r="G128" s="117" t="s">
        <v>43</v>
      </c>
      <c r="H128" s="117"/>
      <c r="I128" s="115" t="s">
        <v>103</v>
      </c>
      <c r="J128" s="116" t="s">
        <v>135</v>
      </c>
      <c r="L128" s="105"/>
      <c r="M128" s="105"/>
      <c r="N128" s="105"/>
    </row>
    <row r="129" spans="1:14" ht="13.5" customHeight="1">
      <c r="A129" s="131">
        <v>2025</v>
      </c>
      <c r="B129" s="144" t="s">
        <v>117</v>
      </c>
      <c r="C129" s="126" t="s">
        <v>115</v>
      </c>
      <c r="D129" s="126"/>
      <c r="E129" s="127" t="s">
        <v>41</v>
      </c>
      <c r="F129" s="127" t="s">
        <v>87</v>
      </c>
      <c r="G129" s="127" t="s">
        <v>50</v>
      </c>
      <c r="H129" s="127"/>
      <c r="I129" s="126" t="s">
        <v>103</v>
      </c>
      <c r="J129" s="125" t="s">
        <v>126</v>
      </c>
      <c r="L129" s="105"/>
      <c r="M129" s="105"/>
      <c r="N129" s="105"/>
    </row>
    <row r="130" spans="1:14" ht="13.5" customHeight="1">
      <c r="A130" s="131">
        <v>2025</v>
      </c>
      <c r="B130" s="126" t="s">
        <v>117</v>
      </c>
      <c r="C130" s="126" t="s">
        <v>115</v>
      </c>
      <c r="D130" s="126"/>
      <c r="E130" s="127" t="s">
        <v>50</v>
      </c>
      <c r="F130" s="127" t="s">
        <v>87</v>
      </c>
      <c r="G130" s="127" t="s">
        <v>41</v>
      </c>
      <c r="H130" s="127"/>
      <c r="I130" s="126" t="s">
        <v>103</v>
      </c>
      <c r="J130" s="125" t="s">
        <v>126</v>
      </c>
      <c r="L130" s="105"/>
      <c r="M130" s="105"/>
      <c r="N130" s="105"/>
    </row>
    <row r="131" spans="1:14" ht="13.5" customHeight="1">
      <c r="A131" s="132">
        <v>2025</v>
      </c>
      <c r="B131" s="115" t="s">
        <v>117</v>
      </c>
      <c r="C131" s="115" t="s">
        <v>115</v>
      </c>
      <c r="D131" s="115"/>
      <c r="E131" s="117" t="s">
        <v>44</v>
      </c>
      <c r="F131" s="117" t="s">
        <v>88</v>
      </c>
      <c r="G131" s="117" t="s">
        <v>606</v>
      </c>
      <c r="H131" s="117"/>
      <c r="I131" s="115" t="s">
        <v>102</v>
      </c>
      <c r="J131" s="116" t="s">
        <v>126</v>
      </c>
      <c r="L131" s="105"/>
      <c r="M131" s="105"/>
      <c r="N131" s="105"/>
    </row>
    <row r="132" spans="1:14" ht="13.5" customHeight="1">
      <c r="A132" s="132">
        <v>2025</v>
      </c>
      <c r="B132" s="115" t="s">
        <v>117</v>
      </c>
      <c r="C132" s="115" t="s">
        <v>115</v>
      </c>
      <c r="D132" s="115"/>
      <c r="E132" s="117" t="s">
        <v>606</v>
      </c>
      <c r="F132" s="117" t="s">
        <v>88</v>
      </c>
      <c r="G132" s="117" t="s">
        <v>44</v>
      </c>
      <c r="H132" s="117"/>
      <c r="I132" s="115" t="s">
        <v>102</v>
      </c>
      <c r="J132" s="116" t="s">
        <v>126</v>
      </c>
      <c r="L132" s="105"/>
      <c r="M132" s="105"/>
      <c r="N132" s="105"/>
    </row>
    <row r="133" spans="1:14" ht="13.5" customHeight="1">
      <c r="A133" s="131">
        <v>2025</v>
      </c>
      <c r="B133" s="126" t="s">
        <v>142</v>
      </c>
      <c r="C133" s="126" t="s">
        <v>16</v>
      </c>
      <c r="D133" s="126"/>
      <c r="E133" s="142" t="s">
        <v>143</v>
      </c>
      <c r="F133" s="127" t="s">
        <v>87</v>
      </c>
      <c r="G133" s="142" t="s">
        <v>143</v>
      </c>
      <c r="H133" s="127"/>
      <c r="I133" s="126" t="s">
        <v>103</v>
      </c>
      <c r="J133" s="141" t="s">
        <v>144</v>
      </c>
      <c r="L133" s="105"/>
      <c r="M133" s="105"/>
      <c r="N133" s="105"/>
    </row>
    <row r="134" spans="1:14" ht="13.5" customHeight="1">
      <c r="A134" s="132">
        <v>2025</v>
      </c>
      <c r="B134" s="115" t="s">
        <v>142</v>
      </c>
      <c r="C134" s="115" t="s">
        <v>16</v>
      </c>
      <c r="D134" s="115"/>
      <c r="E134" s="117" t="s">
        <v>143</v>
      </c>
      <c r="F134" s="117" t="s">
        <v>88</v>
      </c>
      <c r="G134" s="117" t="s">
        <v>143</v>
      </c>
      <c r="H134" s="117"/>
      <c r="I134" s="115" t="s">
        <v>102</v>
      </c>
      <c r="J134" s="116" t="s">
        <v>144</v>
      </c>
      <c r="L134" s="105"/>
      <c r="M134" s="105"/>
      <c r="N134" s="105"/>
    </row>
    <row r="135" spans="1:14" ht="13.5" customHeight="1">
      <c r="A135" s="131">
        <v>2025</v>
      </c>
      <c r="B135" s="126" t="s">
        <v>123</v>
      </c>
      <c r="C135" s="126" t="s">
        <v>124</v>
      </c>
      <c r="D135" s="126"/>
      <c r="E135" s="127" t="s">
        <v>41</v>
      </c>
      <c r="F135" s="127" t="s">
        <v>87</v>
      </c>
      <c r="G135" s="127"/>
      <c r="H135" s="127" t="s">
        <v>606</v>
      </c>
      <c r="I135" s="126" t="s">
        <v>102</v>
      </c>
      <c r="J135" s="125" t="s">
        <v>127</v>
      </c>
      <c r="L135" s="105"/>
      <c r="M135" s="105"/>
      <c r="N135" s="105"/>
    </row>
    <row r="136" spans="1:14" ht="13.5" customHeight="1">
      <c r="A136" s="132">
        <v>2025</v>
      </c>
      <c r="B136" s="115" t="s">
        <v>123</v>
      </c>
      <c r="C136" s="115" t="s">
        <v>124</v>
      </c>
      <c r="D136" s="115"/>
      <c r="E136" s="117" t="s">
        <v>606</v>
      </c>
      <c r="F136" s="117" t="s">
        <v>88</v>
      </c>
      <c r="G136" s="117"/>
      <c r="H136" s="117" t="s">
        <v>41</v>
      </c>
      <c r="I136" s="115" t="s">
        <v>103</v>
      </c>
      <c r="J136" s="116" t="s">
        <v>127</v>
      </c>
      <c r="L136" s="105"/>
      <c r="M136" s="105"/>
      <c r="N136" s="105"/>
    </row>
    <row r="137" spans="1:14" ht="13.5" customHeight="1">
      <c r="A137" s="131">
        <v>2025</v>
      </c>
      <c r="B137" s="126" t="s">
        <v>123</v>
      </c>
      <c r="C137" s="126" t="s">
        <v>124</v>
      </c>
      <c r="D137" s="126"/>
      <c r="E137" s="127" t="s">
        <v>51</v>
      </c>
      <c r="F137" s="127" t="s">
        <v>87</v>
      </c>
      <c r="G137" s="127"/>
      <c r="H137" s="127" t="s">
        <v>52</v>
      </c>
      <c r="I137" s="126" t="s">
        <v>103</v>
      </c>
      <c r="J137" s="125" t="s">
        <v>145</v>
      </c>
      <c r="L137" s="105"/>
      <c r="M137" s="105"/>
      <c r="N137" s="105"/>
    </row>
    <row r="138" spans="1:14" ht="13.5" customHeight="1">
      <c r="A138" s="132">
        <v>2025</v>
      </c>
      <c r="B138" s="115" t="s">
        <v>123</v>
      </c>
      <c r="C138" s="115" t="s">
        <v>124</v>
      </c>
      <c r="D138" s="115"/>
      <c r="E138" s="117" t="s">
        <v>52</v>
      </c>
      <c r="F138" s="117" t="s">
        <v>88</v>
      </c>
      <c r="G138" s="117"/>
      <c r="H138" s="117" t="s">
        <v>51</v>
      </c>
      <c r="I138" s="115" t="s">
        <v>102</v>
      </c>
      <c r="J138" s="116" t="s">
        <v>145</v>
      </c>
      <c r="L138" s="105"/>
      <c r="M138" s="105"/>
      <c r="N138" s="105"/>
    </row>
    <row r="139" spans="1:14" ht="13.5" customHeight="1">
      <c r="A139" s="131">
        <v>2025</v>
      </c>
      <c r="B139" s="126" t="s">
        <v>123</v>
      </c>
      <c r="C139" s="126" t="s">
        <v>124</v>
      </c>
      <c r="D139" s="126"/>
      <c r="E139" s="127" t="s">
        <v>42</v>
      </c>
      <c r="F139" s="127" t="s">
        <v>87</v>
      </c>
      <c r="G139" s="127"/>
      <c r="H139" s="127" t="s">
        <v>43</v>
      </c>
      <c r="I139" s="126" t="s">
        <v>103</v>
      </c>
      <c r="J139" s="125" t="s">
        <v>129</v>
      </c>
      <c r="L139" s="105"/>
      <c r="M139" s="105"/>
      <c r="N139" s="105"/>
    </row>
    <row r="140" spans="1:14" ht="13.5" customHeight="1">
      <c r="A140" s="132">
        <v>2025</v>
      </c>
      <c r="B140" s="115" t="s">
        <v>123</v>
      </c>
      <c r="C140" s="115" t="s">
        <v>124</v>
      </c>
      <c r="D140" s="115"/>
      <c r="E140" s="117" t="s">
        <v>43</v>
      </c>
      <c r="F140" s="117" t="s">
        <v>88</v>
      </c>
      <c r="G140" s="117"/>
      <c r="H140" s="117" t="s">
        <v>42</v>
      </c>
      <c r="I140" s="115" t="s">
        <v>102</v>
      </c>
      <c r="J140" s="116" t="s">
        <v>129</v>
      </c>
      <c r="L140" s="105"/>
      <c r="M140" s="105"/>
      <c r="N140" s="105"/>
    </row>
    <row r="141" spans="1:14" ht="13.5" customHeight="1">
      <c r="A141" s="131">
        <v>2025</v>
      </c>
      <c r="B141" s="126" t="s">
        <v>123</v>
      </c>
      <c r="C141" s="126" t="s">
        <v>124</v>
      </c>
      <c r="D141" s="126"/>
      <c r="E141" s="127" t="s">
        <v>50</v>
      </c>
      <c r="F141" s="127" t="s">
        <v>87</v>
      </c>
      <c r="G141" s="127"/>
      <c r="H141" s="127" t="s">
        <v>44</v>
      </c>
      <c r="I141" s="126" t="s">
        <v>103</v>
      </c>
      <c r="J141" s="125" t="s">
        <v>145</v>
      </c>
      <c r="L141" s="105"/>
      <c r="M141" s="105"/>
      <c r="N141" s="105"/>
    </row>
    <row r="142" spans="1:14" ht="13.5" customHeight="1">
      <c r="A142" s="132">
        <v>2025</v>
      </c>
      <c r="B142" s="109" t="s">
        <v>123</v>
      </c>
      <c r="C142" s="109" t="s">
        <v>124</v>
      </c>
      <c r="D142" s="109"/>
      <c r="E142" s="108" t="s">
        <v>44</v>
      </c>
      <c r="F142" s="108" t="s">
        <v>88</v>
      </c>
      <c r="G142" s="108"/>
      <c r="H142" s="108" t="s">
        <v>50</v>
      </c>
      <c r="I142" s="109" t="s">
        <v>102</v>
      </c>
      <c r="J142" s="118" t="s">
        <v>145</v>
      </c>
      <c r="L142" s="105"/>
      <c r="M142" s="105"/>
      <c r="N142" s="105"/>
    </row>
    <row r="143" spans="1:14" ht="13.5" customHeight="1">
      <c r="A143" s="139">
        <v>2026</v>
      </c>
      <c r="B143" s="101" t="s">
        <v>146</v>
      </c>
      <c r="C143" s="101" t="s">
        <v>16</v>
      </c>
      <c r="D143" s="101" t="s">
        <v>17</v>
      </c>
      <c r="E143" s="102" t="s">
        <v>143</v>
      </c>
      <c r="F143" s="102" t="s">
        <v>88</v>
      </c>
      <c r="G143" s="102" t="s">
        <v>143</v>
      </c>
      <c r="H143" s="102"/>
      <c r="I143" s="101"/>
      <c r="J143" s="103"/>
      <c r="L143" s="105"/>
      <c r="M143" s="105"/>
      <c r="N143" s="105"/>
    </row>
    <row r="144" spans="1:14" ht="13.5" customHeight="1">
      <c r="A144" s="139">
        <v>2026</v>
      </c>
      <c r="B144" s="101" t="s">
        <v>146</v>
      </c>
      <c r="C144" s="101" t="s">
        <v>16</v>
      </c>
      <c r="D144" s="101" t="s">
        <v>19</v>
      </c>
      <c r="E144" s="102" t="s">
        <v>143</v>
      </c>
      <c r="F144" s="102" t="s">
        <v>88</v>
      </c>
      <c r="G144" s="102" t="s">
        <v>143</v>
      </c>
      <c r="H144" s="102"/>
      <c r="I144" s="101"/>
      <c r="J144" s="103"/>
      <c r="L144" s="105"/>
      <c r="M144" s="105"/>
      <c r="N144" s="105"/>
    </row>
    <row r="145" spans="1:14" ht="13.5" customHeight="1">
      <c r="A145" s="139">
        <v>2026</v>
      </c>
      <c r="B145" s="101" t="s">
        <v>146</v>
      </c>
      <c r="C145" s="101" t="s">
        <v>16</v>
      </c>
      <c r="D145" s="101" t="s">
        <v>147</v>
      </c>
      <c r="E145" s="102" t="s">
        <v>143</v>
      </c>
      <c r="F145" s="102" t="s">
        <v>88</v>
      </c>
      <c r="G145" s="102" t="s">
        <v>143</v>
      </c>
      <c r="H145" s="102"/>
      <c r="I145" s="101"/>
      <c r="J145" s="103"/>
      <c r="L145" s="105"/>
      <c r="M145" s="105"/>
      <c r="N145" s="105"/>
    </row>
    <row r="146" spans="1:14" ht="13.5" customHeight="1">
      <c r="A146" s="139">
        <v>2026</v>
      </c>
      <c r="B146" s="101" t="s">
        <v>146</v>
      </c>
      <c r="C146" s="101" t="s">
        <v>16</v>
      </c>
      <c r="D146" s="101" t="s">
        <v>17</v>
      </c>
      <c r="E146" s="102" t="s">
        <v>143</v>
      </c>
      <c r="F146" s="102" t="s">
        <v>87</v>
      </c>
      <c r="G146" s="102" t="s">
        <v>143</v>
      </c>
      <c r="H146" s="102"/>
      <c r="I146" s="101"/>
      <c r="J146" s="103"/>
      <c r="L146" s="105"/>
      <c r="M146" s="105"/>
      <c r="N146" s="105"/>
    </row>
    <row r="147" spans="1:14" ht="13.5" customHeight="1">
      <c r="A147" s="139">
        <v>2026</v>
      </c>
      <c r="B147" s="101" t="s">
        <v>146</v>
      </c>
      <c r="C147" s="101" t="s">
        <v>16</v>
      </c>
      <c r="D147" s="101" t="s">
        <v>19</v>
      </c>
      <c r="E147" s="102" t="s">
        <v>143</v>
      </c>
      <c r="F147" s="102" t="s">
        <v>87</v>
      </c>
      <c r="G147" s="102" t="s">
        <v>143</v>
      </c>
      <c r="H147" s="102"/>
      <c r="I147" s="101"/>
      <c r="J147" s="103"/>
      <c r="L147" s="105"/>
      <c r="M147" s="105"/>
      <c r="N147" s="105"/>
    </row>
    <row r="148" spans="1:14" ht="13.5" customHeight="1">
      <c r="A148" s="139">
        <v>2026</v>
      </c>
      <c r="B148" s="101" t="s">
        <v>146</v>
      </c>
      <c r="C148" s="101" t="s">
        <v>16</v>
      </c>
      <c r="D148" s="101" t="s">
        <v>147</v>
      </c>
      <c r="E148" s="102" t="s">
        <v>143</v>
      </c>
      <c r="F148" s="102" t="s">
        <v>87</v>
      </c>
      <c r="G148" s="102" t="s">
        <v>143</v>
      </c>
      <c r="H148" s="102"/>
      <c r="I148" s="101"/>
      <c r="J148" s="103"/>
      <c r="L148" s="105"/>
      <c r="M148" s="105"/>
      <c r="N148" s="105"/>
    </row>
    <row r="149" spans="1:14" ht="13.5">
      <c r="A149" s="139">
        <v>2026</v>
      </c>
      <c r="B149" s="101" t="s">
        <v>119</v>
      </c>
      <c r="C149" s="101" t="s">
        <v>115</v>
      </c>
      <c r="D149" s="101" t="s">
        <v>17</v>
      </c>
      <c r="E149" s="102" t="s">
        <v>43</v>
      </c>
      <c r="F149" s="102" t="s">
        <v>88</v>
      </c>
      <c r="G149" s="102"/>
      <c r="H149" s="102"/>
      <c r="I149" s="101"/>
      <c r="J149" s="103"/>
    </row>
    <row r="150" spans="1:14" ht="13.5">
      <c r="A150" s="139">
        <v>2026</v>
      </c>
      <c r="B150" s="101" t="s">
        <v>119</v>
      </c>
      <c r="C150" s="101" t="s">
        <v>115</v>
      </c>
      <c r="D150" s="101" t="s">
        <v>19</v>
      </c>
      <c r="E150" s="102" t="s">
        <v>43</v>
      </c>
      <c r="F150" s="102" t="s">
        <v>88</v>
      </c>
      <c r="G150" s="102"/>
      <c r="H150" s="102"/>
      <c r="I150" s="101"/>
      <c r="J150" s="103"/>
    </row>
    <row r="151" spans="1:14" ht="13.5">
      <c r="A151" s="139">
        <v>2026</v>
      </c>
      <c r="B151" s="101" t="s">
        <v>119</v>
      </c>
      <c r="C151" s="101" t="s">
        <v>115</v>
      </c>
      <c r="D151" s="101" t="s">
        <v>147</v>
      </c>
      <c r="E151" s="102" t="s">
        <v>43</v>
      </c>
      <c r="F151" s="102" t="s">
        <v>88</v>
      </c>
      <c r="G151" s="102"/>
      <c r="H151" s="102"/>
      <c r="I151" s="101"/>
      <c r="J151" s="103"/>
    </row>
    <row r="152" spans="1:14" ht="13.5">
      <c r="A152" s="139">
        <v>2026</v>
      </c>
      <c r="B152" s="101" t="s">
        <v>119</v>
      </c>
      <c r="C152" s="101" t="s">
        <v>115</v>
      </c>
      <c r="D152" s="101" t="s">
        <v>17</v>
      </c>
      <c r="E152" s="102" t="s">
        <v>44</v>
      </c>
      <c r="F152" s="102" t="s">
        <v>88</v>
      </c>
      <c r="G152" s="102"/>
      <c r="H152" s="102"/>
      <c r="I152" s="101"/>
      <c r="J152" s="103"/>
    </row>
    <row r="153" spans="1:14" ht="13.5">
      <c r="A153" s="139">
        <v>2026</v>
      </c>
      <c r="B153" s="101" t="s">
        <v>119</v>
      </c>
      <c r="C153" s="101" t="s">
        <v>115</v>
      </c>
      <c r="D153" s="101" t="s">
        <v>19</v>
      </c>
      <c r="E153" s="102" t="s">
        <v>44</v>
      </c>
      <c r="F153" s="102" t="s">
        <v>88</v>
      </c>
      <c r="G153" s="102"/>
      <c r="H153" s="102"/>
      <c r="I153" s="101"/>
      <c r="J153" s="103"/>
    </row>
    <row r="154" spans="1:14" ht="13.5">
      <c r="A154" s="139">
        <v>2026</v>
      </c>
      <c r="B154" s="101" t="s">
        <v>119</v>
      </c>
      <c r="C154" s="101" t="s">
        <v>115</v>
      </c>
      <c r="D154" s="101" t="s">
        <v>147</v>
      </c>
      <c r="E154" s="102" t="s">
        <v>44</v>
      </c>
      <c r="F154" s="102" t="s">
        <v>88</v>
      </c>
      <c r="G154" s="102"/>
      <c r="H154" s="102"/>
      <c r="I154" s="101"/>
      <c r="J154" s="103"/>
    </row>
    <row r="155" spans="1:14" ht="13.5">
      <c r="A155" s="139">
        <v>2026</v>
      </c>
      <c r="B155" s="101" t="s">
        <v>119</v>
      </c>
      <c r="C155" s="101" t="s">
        <v>115</v>
      </c>
      <c r="D155" s="101" t="s">
        <v>17</v>
      </c>
      <c r="E155" s="102" t="s">
        <v>42</v>
      </c>
      <c r="F155" s="102" t="s">
        <v>87</v>
      </c>
      <c r="G155" s="102"/>
      <c r="H155" s="102"/>
      <c r="I155" s="101"/>
      <c r="J155" s="103"/>
    </row>
    <row r="156" spans="1:14" ht="13.5">
      <c r="A156" s="139">
        <v>2026</v>
      </c>
      <c r="B156" s="101" t="s">
        <v>119</v>
      </c>
      <c r="C156" s="101" t="s">
        <v>115</v>
      </c>
      <c r="D156" s="101" t="s">
        <v>19</v>
      </c>
      <c r="E156" s="102" t="s">
        <v>42</v>
      </c>
      <c r="F156" s="102" t="s">
        <v>87</v>
      </c>
      <c r="G156" s="102"/>
      <c r="H156" s="102"/>
      <c r="I156" s="101"/>
      <c r="J156" s="103"/>
    </row>
    <row r="157" spans="1:14" ht="13.5">
      <c r="A157" s="139">
        <v>2026</v>
      </c>
      <c r="B157" s="101" t="s">
        <v>119</v>
      </c>
      <c r="C157" s="101" t="s">
        <v>115</v>
      </c>
      <c r="D157" s="101" t="s">
        <v>147</v>
      </c>
      <c r="E157" s="102" t="s">
        <v>42</v>
      </c>
      <c r="F157" s="102" t="s">
        <v>87</v>
      </c>
      <c r="G157" s="102"/>
      <c r="H157" s="102"/>
      <c r="I157" s="101"/>
      <c r="J157" s="103"/>
    </row>
    <row r="158" spans="1:14" ht="13.5">
      <c r="A158" s="139">
        <v>2026</v>
      </c>
      <c r="B158" s="101" t="s">
        <v>119</v>
      </c>
      <c r="C158" s="101" t="s">
        <v>115</v>
      </c>
      <c r="D158" s="101" t="s">
        <v>17</v>
      </c>
      <c r="E158" s="102" t="s">
        <v>51</v>
      </c>
      <c r="F158" s="102" t="s">
        <v>87</v>
      </c>
      <c r="G158" s="102"/>
      <c r="H158" s="102"/>
      <c r="I158" s="101"/>
      <c r="J158" s="103"/>
    </row>
    <row r="159" spans="1:14" ht="13.5">
      <c r="A159" s="139">
        <v>2026</v>
      </c>
      <c r="B159" s="101" t="s">
        <v>119</v>
      </c>
      <c r="C159" s="101" t="s">
        <v>115</v>
      </c>
      <c r="D159" s="101" t="s">
        <v>19</v>
      </c>
      <c r="E159" s="102" t="s">
        <v>51</v>
      </c>
      <c r="F159" s="102" t="s">
        <v>87</v>
      </c>
      <c r="G159" s="102"/>
      <c r="H159" s="102"/>
      <c r="I159" s="101"/>
      <c r="J159" s="103"/>
    </row>
    <row r="160" spans="1:14" ht="13.5">
      <c r="A160" s="139">
        <v>2026</v>
      </c>
      <c r="B160" s="101" t="s">
        <v>119</v>
      </c>
      <c r="C160" s="101" t="s">
        <v>115</v>
      </c>
      <c r="D160" s="101" t="s">
        <v>147</v>
      </c>
      <c r="E160" s="102" t="s">
        <v>51</v>
      </c>
      <c r="F160" s="102" t="s">
        <v>87</v>
      </c>
      <c r="G160" s="102"/>
      <c r="H160" s="102"/>
      <c r="I160" s="101"/>
      <c r="J160" s="103"/>
    </row>
    <row r="161" spans="1:10" ht="13.5">
      <c r="A161" s="139">
        <v>2026</v>
      </c>
      <c r="B161" s="101" t="s">
        <v>121</v>
      </c>
      <c r="C161" s="101" t="s">
        <v>115</v>
      </c>
      <c r="D161" s="101" t="s">
        <v>17</v>
      </c>
      <c r="E161" s="102" t="s">
        <v>606</v>
      </c>
      <c r="F161" s="102" t="s">
        <v>88</v>
      </c>
      <c r="G161" s="102"/>
      <c r="H161" s="102"/>
      <c r="I161" s="101"/>
      <c r="J161" s="103"/>
    </row>
    <row r="162" spans="1:10" ht="13.5">
      <c r="A162" s="139">
        <v>2026</v>
      </c>
      <c r="B162" s="101" t="s">
        <v>121</v>
      </c>
      <c r="C162" s="101" t="s">
        <v>115</v>
      </c>
      <c r="D162" s="101" t="s">
        <v>19</v>
      </c>
      <c r="E162" s="102" t="s">
        <v>606</v>
      </c>
      <c r="F162" s="102" t="s">
        <v>88</v>
      </c>
      <c r="G162" s="102"/>
      <c r="H162" s="102"/>
      <c r="I162" s="101"/>
      <c r="J162" s="103"/>
    </row>
    <row r="163" spans="1:10" ht="13.5">
      <c r="A163" s="139">
        <v>2026</v>
      </c>
      <c r="B163" s="101" t="s">
        <v>121</v>
      </c>
      <c r="C163" s="101" t="s">
        <v>115</v>
      </c>
      <c r="D163" s="101" t="s">
        <v>147</v>
      </c>
      <c r="E163" s="102" t="s">
        <v>606</v>
      </c>
      <c r="F163" s="102" t="s">
        <v>88</v>
      </c>
      <c r="G163" s="102"/>
      <c r="H163" s="102"/>
      <c r="I163" s="101"/>
      <c r="J163" s="103"/>
    </row>
    <row r="164" spans="1:10" ht="13.5">
      <c r="A164" s="139">
        <v>2026</v>
      </c>
      <c r="B164" s="101" t="s">
        <v>121</v>
      </c>
      <c r="C164" s="101" t="s">
        <v>115</v>
      </c>
      <c r="D164" s="101" t="s">
        <v>17</v>
      </c>
      <c r="E164" s="102" t="s">
        <v>52</v>
      </c>
      <c r="F164" s="102" t="s">
        <v>88</v>
      </c>
      <c r="G164" s="102"/>
      <c r="H164" s="102"/>
      <c r="I164" s="101"/>
      <c r="J164" s="103"/>
    </row>
    <row r="165" spans="1:10" ht="13.5">
      <c r="A165" s="139">
        <v>2026</v>
      </c>
      <c r="B165" s="101" t="s">
        <v>121</v>
      </c>
      <c r="C165" s="101" t="s">
        <v>115</v>
      </c>
      <c r="D165" s="101" t="s">
        <v>19</v>
      </c>
      <c r="E165" s="102" t="s">
        <v>52</v>
      </c>
      <c r="F165" s="102" t="s">
        <v>88</v>
      </c>
      <c r="G165" s="102"/>
      <c r="H165" s="102"/>
      <c r="I165" s="101"/>
      <c r="J165" s="103"/>
    </row>
    <row r="166" spans="1:10" ht="13.5">
      <c r="A166" s="139">
        <v>2026</v>
      </c>
      <c r="B166" s="101" t="s">
        <v>121</v>
      </c>
      <c r="C166" s="101" t="s">
        <v>115</v>
      </c>
      <c r="D166" s="101" t="s">
        <v>147</v>
      </c>
      <c r="E166" s="102" t="s">
        <v>52</v>
      </c>
      <c r="F166" s="102" t="s">
        <v>88</v>
      </c>
      <c r="G166" s="102"/>
      <c r="H166" s="102"/>
      <c r="I166" s="101"/>
      <c r="J166" s="103"/>
    </row>
    <row r="167" spans="1:10" ht="13.5">
      <c r="A167" s="139">
        <v>2026</v>
      </c>
      <c r="B167" s="101" t="s">
        <v>121</v>
      </c>
      <c r="C167" s="101" t="s">
        <v>115</v>
      </c>
      <c r="D167" s="101" t="s">
        <v>17</v>
      </c>
      <c r="E167" s="102" t="s">
        <v>41</v>
      </c>
      <c r="F167" s="102" t="s">
        <v>87</v>
      </c>
      <c r="G167" s="102"/>
      <c r="H167" s="102"/>
      <c r="I167" s="101"/>
      <c r="J167" s="103"/>
    </row>
    <row r="168" spans="1:10" ht="13.5">
      <c r="A168" s="139">
        <v>2026</v>
      </c>
      <c r="B168" s="101" t="s">
        <v>121</v>
      </c>
      <c r="C168" s="101" t="s">
        <v>115</v>
      </c>
      <c r="D168" s="101" t="s">
        <v>19</v>
      </c>
      <c r="E168" s="102" t="s">
        <v>41</v>
      </c>
      <c r="F168" s="102" t="s">
        <v>87</v>
      </c>
      <c r="G168" s="102"/>
      <c r="H168" s="102"/>
      <c r="I168" s="101"/>
      <c r="J168" s="103"/>
    </row>
    <row r="169" spans="1:10" ht="13.5">
      <c r="A169" s="139">
        <v>2026</v>
      </c>
      <c r="B169" s="101" t="s">
        <v>121</v>
      </c>
      <c r="C169" s="101" t="s">
        <v>115</v>
      </c>
      <c r="D169" s="101" t="s">
        <v>147</v>
      </c>
      <c r="E169" s="102" t="s">
        <v>41</v>
      </c>
      <c r="F169" s="102" t="s">
        <v>87</v>
      </c>
      <c r="G169" s="102"/>
      <c r="H169" s="102"/>
      <c r="I169" s="101"/>
      <c r="J169" s="103"/>
    </row>
    <row r="170" spans="1:10" ht="13.5">
      <c r="A170" s="139">
        <v>2026</v>
      </c>
      <c r="B170" s="101" t="s">
        <v>121</v>
      </c>
      <c r="C170" s="101" t="s">
        <v>115</v>
      </c>
      <c r="D170" s="101" t="s">
        <v>17</v>
      </c>
      <c r="E170" s="102" t="s">
        <v>50</v>
      </c>
      <c r="F170" s="102" t="s">
        <v>87</v>
      </c>
      <c r="G170" s="102"/>
      <c r="H170" s="102"/>
      <c r="I170" s="101"/>
      <c r="J170" s="103"/>
    </row>
    <row r="171" spans="1:10" ht="13.5">
      <c r="A171" s="139">
        <v>2026</v>
      </c>
      <c r="B171" s="101" t="s">
        <v>121</v>
      </c>
      <c r="C171" s="101" t="s">
        <v>115</v>
      </c>
      <c r="D171" s="101" t="s">
        <v>19</v>
      </c>
      <c r="E171" s="102" t="s">
        <v>50</v>
      </c>
      <c r="F171" s="102" t="s">
        <v>87</v>
      </c>
      <c r="G171" s="102"/>
      <c r="H171" s="102"/>
      <c r="I171" s="101"/>
      <c r="J171" s="103"/>
    </row>
    <row r="172" spans="1:10" ht="13.5">
      <c r="A172" s="139">
        <v>2026</v>
      </c>
      <c r="B172" s="101" t="s">
        <v>121</v>
      </c>
      <c r="C172" s="101" t="s">
        <v>115</v>
      </c>
      <c r="D172" s="101" t="s">
        <v>147</v>
      </c>
      <c r="E172" s="102" t="s">
        <v>50</v>
      </c>
      <c r="F172" s="102" t="s">
        <v>87</v>
      </c>
      <c r="G172" s="102"/>
      <c r="H172" s="102"/>
      <c r="I172" s="101"/>
      <c r="J172" s="103"/>
    </row>
    <row r="173" spans="1:10" ht="13.5">
      <c r="A173" s="139">
        <v>2026</v>
      </c>
      <c r="B173" s="101" t="s">
        <v>123</v>
      </c>
      <c r="C173" s="101" t="s">
        <v>124</v>
      </c>
      <c r="D173" s="101" t="s">
        <v>17</v>
      </c>
      <c r="E173" s="102" t="s">
        <v>43</v>
      </c>
      <c r="F173" s="102" t="s">
        <v>88</v>
      </c>
      <c r="G173" s="102"/>
      <c r="H173" s="102"/>
      <c r="I173" s="101"/>
      <c r="J173" s="103"/>
    </row>
    <row r="174" spans="1:10" ht="13.5">
      <c r="A174" s="139">
        <v>2026</v>
      </c>
      <c r="B174" s="101" t="s">
        <v>123</v>
      </c>
      <c r="C174" s="101" t="s">
        <v>124</v>
      </c>
      <c r="D174" s="101" t="s">
        <v>19</v>
      </c>
      <c r="E174" s="102" t="s">
        <v>43</v>
      </c>
      <c r="F174" s="102" t="s">
        <v>88</v>
      </c>
      <c r="G174" s="102"/>
      <c r="H174" s="102"/>
      <c r="I174" s="101"/>
      <c r="J174" s="103"/>
    </row>
    <row r="175" spans="1:10" ht="13.5">
      <c r="A175" s="139">
        <v>2026</v>
      </c>
      <c r="B175" s="101" t="s">
        <v>123</v>
      </c>
      <c r="C175" s="101" t="s">
        <v>124</v>
      </c>
      <c r="D175" s="101" t="s">
        <v>147</v>
      </c>
      <c r="E175" s="102" t="s">
        <v>43</v>
      </c>
      <c r="F175" s="102" t="s">
        <v>88</v>
      </c>
      <c r="G175" s="102"/>
      <c r="H175" s="102"/>
      <c r="I175" s="101"/>
      <c r="J175" s="103"/>
    </row>
    <row r="176" spans="1:10" ht="13.5">
      <c r="A176" s="139">
        <v>2026</v>
      </c>
      <c r="B176" s="101" t="s">
        <v>123</v>
      </c>
      <c r="C176" s="101" t="s">
        <v>124</v>
      </c>
      <c r="D176" s="101" t="s">
        <v>17</v>
      </c>
      <c r="E176" s="102" t="s">
        <v>44</v>
      </c>
      <c r="F176" s="102" t="s">
        <v>88</v>
      </c>
      <c r="G176" s="102"/>
      <c r="H176" s="102"/>
      <c r="I176" s="101"/>
      <c r="J176" s="103"/>
    </row>
    <row r="177" spans="1:10" ht="13.5">
      <c r="A177" s="139">
        <v>2026</v>
      </c>
      <c r="B177" s="101" t="s">
        <v>123</v>
      </c>
      <c r="C177" s="101" t="s">
        <v>124</v>
      </c>
      <c r="D177" s="101" t="s">
        <v>19</v>
      </c>
      <c r="E177" s="102" t="s">
        <v>44</v>
      </c>
      <c r="F177" s="102" t="s">
        <v>88</v>
      </c>
      <c r="G177" s="102"/>
      <c r="H177" s="102"/>
      <c r="I177" s="101"/>
      <c r="J177" s="103"/>
    </row>
    <row r="178" spans="1:10" ht="13.5">
      <c r="A178" s="139">
        <v>2026</v>
      </c>
      <c r="B178" s="101" t="s">
        <v>123</v>
      </c>
      <c r="C178" s="101" t="s">
        <v>124</v>
      </c>
      <c r="D178" s="101" t="s">
        <v>147</v>
      </c>
      <c r="E178" s="102" t="s">
        <v>44</v>
      </c>
      <c r="F178" s="102" t="s">
        <v>88</v>
      </c>
      <c r="G178" s="102"/>
      <c r="H178" s="102"/>
      <c r="I178" s="101"/>
      <c r="J178" s="103"/>
    </row>
    <row r="179" spans="1:10" ht="13.5">
      <c r="A179" s="139">
        <v>2026</v>
      </c>
      <c r="B179" s="101" t="s">
        <v>123</v>
      </c>
      <c r="C179" s="101" t="s">
        <v>124</v>
      </c>
      <c r="D179" s="101" t="s">
        <v>17</v>
      </c>
      <c r="E179" s="102" t="s">
        <v>606</v>
      </c>
      <c r="F179" s="102" t="s">
        <v>88</v>
      </c>
      <c r="G179" s="102"/>
      <c r="H179" s="102"/>
      <c r="I179" s="101"/>
      <c r="J179" s="103"/>
    </row>
    <row r="180" spans="1:10" ht="13.5">
      <c r="A180" s="139">
        <v>2026</v>
      </c>
      <c r="B180" s="101" t="s">
        <v>123</v>
      </c>
      <c r="C180" s="101" t="s">
        <v>124</v>
      </c>
      <c r="D180" s="101" t="s">
        <v>19</v>
      </c>
      <c r="E180" s="102" t="s">
        <v>606</v>
      </c>
      <c r="F180" s="102" t="s">
        <v>88</v>
      </c>
      <c r="G180" s="102"/>
      <c r="H180" s="102"/>
      <c r="I180" s="101"/>
      <c r="J180" s="103"/>
    </row>
    <row r="181" spans="1:10" ht="13.5">
      <c r="A181" s="139">
        <v>2026</v>
      </c>
      <c r="B181" s="101" t="s">
        <v>123</v>
      </c>
      <c r="C181" s="101" t="s">
        <v>124</v>
      </c>
      <c r="D181" s="101" t="s">
        <v>147</v>
      </c>
      <c r="E181" s="102" t="s">
        <v>606</v>
      </c>
      <c r="F181" s="102" t="s">
        <v>88</v>
      </c>
      <c r="G181" s="102"/>
      <c r="H181" s="102"/>
      <c r="I181" s="101"/>
      <c r="J181" s="103"/>
    </row>
    <row r="182" spans="1:10" ht="13.5">
      <c r="A182" s="139">
        <v>2026</v>
      </c>
      <c r="B182" s="101" t="s">
        <v>123</v>
      </c>
      <c r="C182" s="101" t="s">
        <v>124</v>
      </c>
      <c r="D182" s="101" t="s">
        <v>17</v>
      </c>
      <c r="E182" s="102" t="s">
        <v>52</v>
      </c>
      <c r="F182" s="102" t="s">
        <v>88</v>
      </c>
      <c r="G182" s="102"/>
      <c r="H182" s="102"/>
      <c r="I182" s="101"/>
      <c r="J182" s="103"/>
    </row>
    <row r="183" spans="1:10" ht="13.5">
      <c r="A183" s="139">
        <v>2026</v>
      </c>
      <c r="B183" s="101" t="s">
        <v>123</v>
      </c>
      <c r="C183" s="101" t="s">
        <v>124</v>
      </c>
      <c r="D183" s="101" t="s">
        <v>19</v>
      </c>
      <c r="E183" s="102" t="s">
        <v>52</v>
      </c>
      <c r="F183" s="102" t="s">
        <v>88</v>
      </c>
      <c r="G183" s="102"/>
      <c r="H183" s="102"/>
      <c r="I183" s="101"/>
      <c r="J183" s="103"/>
    </row>
    <row r="184" spans="1:10" ht="13.5">
      <c r="A184" s="139">
        <v>2026</v>
      </c>
      <c r="B184" s="101" t="s">
        <v>123</v>
      </c>
      <c r="C184" s="101" t="s">
        <v>124</v>
      </c>
      <c r="D184" s="101" t="s">
        <v>147</v>
      </c>
      <c r="E184" s="102" t="s">
        <v>52</v>
      </c>
      <c r="F184" s="102" t="s">
        <v>88</v>
      </c>
      <c r="G184" s="102"/>
      <c r="H184" s="102"/>
      <c r="I184" s="101"/>
      <c r="J184" s="103"/>
    </row>
    <row r="185" spans="1:10" ht="13.5">
      <c r="A185" s="139">
        <v>2026</v>
      </c>
      <c r="B185" s="101" t="s">
        <v>123</v>
      </c>
      <c r="C185" s="101" t="s">
        <v>124</v>
      </c>
      <c r="D185" s="101" t="s">
        <v>17</v>
      </c>
      <c r="E185" s="102" t="s">
        <v>42</v>
      </c>
      <c r="F185" s="102" t="s">
        <v>87</v>
      </c>
      <c r="G185" s="102"/>
      <c r="H185" s="102"/>
      <c r="I185" s="101"/>
      <c r="J185" s="103"/>
    </row>
    <row r="186" spans="1:10" ht="13.5">
      <c r="A186" s="139">
        <v>2026</v>
      </c>
      <c r="B186" s="101" t="s">
        <v>123</v>
      </c>
      <c r="C186" s="101" t="s">
        <v>124</v>
      </c>
      <c r="D186" s="101" t="s">
        <v>19</v>
      </c>
      <c r="E186" s="102" t="s">
        <v>42</v>
      </c>
      <c r="F186" s="102" t="s">
        <v>87</v>
      </c>
      <c r="G186" s="102"/>
      <c r="H186" s="102"/>
      <c r="I186" s="101"/>
      <c r="J186" s="103"/>
    </row>
    <row r="187" spans="1:10" ht="13.5">
      <c r="A187" s="139">
        <v>2026</v>
      </c>
      <c r="B187" s="101" t="s">
        <v>123</v>
      </c>
      <c r="C187" s="101" t="s">
        <v>124</v>
      </c>
      <c r="D187" s="101" t="s">
        <v>147</v>
      </c>
      <c r="E187" s="102" t="s">
        <v>42</v>
      </c>
      <c r="F187" s="102" t="s">
        <v>87</v>
      </c>
      <c r="G187" s="102"/>
      <c r="H187" s="102"/>
      <c r="I187" s="101"/>
      <c r="J187" s="103"/>
    </row>
    <row r="188" spans="1:10" ht="13.5">
      <c r="A188" s="139">
        <v>2026</v>
      </c>
      <c r="B188" s="101" t="s">
        <v>123</v>
      </c>
      <c r="C188" s="101" t="s">
        <v>124</v>
      </c>
      <c r="D188" s="101" t="s">
        <v>17</v>
      </c>
      <c r="E188" s="102" t="s">
        <v>51</v>
      </c>
      <c r="F188" s="102" t="s">
        <v>87</v>
      </c>
      <c r="G188" s="102"/>
      <c r="H188" s="102"/>
      <c r="I188" s="101"/>
      <c r="J188" s="103"/>
    </row>
    <row r="189" spans="1:10" ht="13.5">
      <c r="A189" s="139">
        <v>2026</v>
      </c>
      <c r="B189" s="101" t="s">
        <v>123</v>
      </c>
      <c r="C189" s="101" t="s">
        <v>124</v>
      </c>
      <c r="D189" s="101" t="s">
        <v>19</v>
      </c>
      <c r="E189" s="102" t="s">
        <v>51</v>
      </c>
      <c r="F189" s="102" t="s">
        <v>87</v>
      </c>
      <c r="G189" s="102"/>
      <c r="H189" s="102"/>
      <c r="I189" s="101"/>
      <c r="J189" s="103"/>
    </row>
    <row r="190" spans="1:10" ht="13.5">
      <c r="A190" s="139">
        <v>2026</v>
      </c>
      <c r="B190" s="101" t="s">
        <v>123</v>
      </c>
      <c r="C190" s="101" t="s">
        <v>124</v>
      </c>
      <c r="D190" s="101" t="s">
        <v>147</v>
      </c>
      <c r="E190" s="102" t="s">
        <v>51</v>
      </c>
      <c r="F190" s="102" t="s">
        <v>87</v>
      </c>
      <c r="G190" s="102"/>
      <c r="H190" s="102"/>
      <c r="I190" s="101"/>
      <c r="J190" s="103"/>
    </row>
    <row r="191" spans="1:10" ht="13.5">
      <c r="A191" s="139">
        <v>2026</v>
      </c>
      <c r="B191" s="101" t="s">
        <v>123</v>
      </c>
      <c r="C191" s="101" t="s">
        <v>124</v>
      </c>
      <c r="D191" s="101" t="s">
        <v>17</v>
      </c>
      <c r="E191" s="102" t="s">
        <v>41</v>
      </c>
      <c r="F191" s="102" t="s">
        <v>87</v>
      </c>
      <c r="G191" s="102"/>
      <c r="H191" s="102"/>
      <c r="I191" s="101"/>
      <c r="J191" s="103"/>
    </row>
    <row r="192" spans="1:10" ht="13.5">
      <c r="A192" s="139">
        <v>2026</v>
      </c>
      <c r="B192" s="101" t="s">
        <v>123</v>
      </c>
      <c r="C192" s="101" t="s">
        <v>124</v>
      </c>
      <c r="D192" s="101" t="s">
        <v>19</v>
      </c>
      <c r="E192" s="102" t="s">
        <v>41</v>
      </c>
      <c r="F192" s="102" t="s">
        <v>87</v>
      </c>
      <c r="G192" s="102"/>
      <c r="H192" s="102"/>
      <c r="I192" s="101"/>
      <c r="J192" s="103"/>
    </row>
    <row r="193" spans="1:11" ht="13.5">
      <c r="A193" s="139">
        <v>2026</v>
      </c>
      <c r="B193" s="101" t="s">
        <v>123</v>
      </c>
      <c r="C193" s="101" t="s">
        <v>124</v>
      </c>
      <c r="D193" s="101" t="s">
        <v>147</v>
      </c>
      <c r="E193" s="102" t="s">
        <v>41</v>
      </c>
      <c r="F193" s="102" t="s">
        <v>87</v>
      </c>
      <c r="G193" s="102"/>
      <c r="H193" s="102"/>
      <c r="I193" s="101"/>
      <c r="J193" s="103"/>
    </row>
    <row r="194" spans="1:11" ht="13.5">
      <c r="A194" s="139">
        <v>2026</v>
      </c>
      <c r="B194" s="101" t="s">
        <v>123</v>
      </c>
      <c r="C194" s="101" t="s">
        <v>124</v>
      </c>
      <c r="D194" s="101" t="s">
        <v>17</v>
      </c>
      <c r="E194" s="102" t="s">
        <v>50</v>
      </c>
      <c r="F194" s="102" t="s">
        <v>87</v>
      </c>
      <c r="G194" s="102"/>
      <c r="H194" s="102"/>
      <c r="I194" s="101"/>
      <c r="J194" s="103"/>
    </row>
    <row r="195" spans="1:11" ht="13.5">
      <c r="A195" s="139">
        <v>2026</v>
      </c>
      <c r="B195" s="101" t="s">
        <v>123</v>
      </c>
      <c r="C195" s="101" t="s">
        <v>124</v>
      </c>
      <c r="D195" s="101" t="s">
        <v>19</v>
      </c>
      <c r="E195" s="102" t="s">
        <v>50</v>
      </c>
      <c r="F195" s="102" t="s">
        <v>87</v>
      </c>
      <c r="G195" s="102"/>
      <c r="H195" s="102"/>
      <c r="I195" s="101"/>
      <c r="J195" s="103"/>
    </row>
    <row r="196" spans="1:11" ht="13.5">
      <c r="A196" s="139">
        <v>2026</v>
      </c>
      <c r="B196" s="101" t="s">
        <v>123</v>
      </c>
      <c r="C196" s="101" t="s">
        <v>124</v>
      </c>
      <c r="D196" s="101" t="s">
        <v>147</v>
      </c>
      <c r="E196" s="102" t="s">
        <v>50</v>
      </c>
      <c r="F196" s="102" t="s">
        <v>87</v>
      </c>
      <c r="G196" s="102"/>
      <c r="H196" s="102"/>
      <c r="I196" s="101"/>
      <c r="J196" s="103"/>
    </row>
    <row r="197" spans="1:11" ht="13.5">
      <c r="A197" s="139"/>
      <c r="B197" s="101"/>
      <c r="C197" s="101"/>
      <c r="D197" s="101"/>
      <c r="E197" s="102"/>
      <c r="F197" s="102"/>
      <c r="G197" s="102"/>
      <c r="H197" s="102"/>
      <c r="I197" s="101"/>
      <c r="J197" s="103"/>
    </row>
    <row r="198" spans="1:11" ht="13.5">
      <c r="A198" s="139"/>
      <c r="B198" s="101"/>
      <c r="C198" s="101"/>
      <c r="D198" s="101"/>
      <c r="E198" s="102"/>
      <c r="F198" s="102"/>
      <c r="G198" s="102"/>
      <c r="H198" s="102"/>
      <c r="I198" s="101"/>
      <c r="J198" s="103"/>
    </row>
    <row r="199" spans="1:11" ht="13.5">
      <c r="A199" s="139"/>
      <c r="B199" s="101"/>
      <c r="C199" s="101"/>
      <c r="D199" s="101"/>
      <c r="E199" s="102"/>
      <c r="F199" s="102"/>
      <c r="G199" s="102"/>
      <c r="H199" s="102"/>
      <c r="I199" s="101"/>
      <c r="J199" s="103"/>
    </row>
    <row r="200" spans="1:11" ht="13.5">
      <c r="A200" s="139"/>
      <c r="B200" s="101"/>
      <c r="C200" s="101"/>
      <c r="D200" s="101"/>
      <c r="E200" s="102"/>
      <c r="F200" s="102"/>
      <c r="G200" s="102"/>
      <c r="H200" s="102"/>
      <c r="I200" s="101"/>
      <c r="J200" s="103"/>
    </row>
    <row r="201" spans="1:11" ht="13.5">
      <c r="A201" s="139"/>
      <c r="B201" s="101"/>
      <c r="C201" s="101"/>
      <c r="D201" s="101"/>
      <c r="E201" s="102"/>
      <c r="F201" s="102"/>
      <c r="G201" s="102"/>
      <c r="H201" s="102"/>
      <c r="I201" s="101"/>
      <c r="J201" s="103"/>
    </row>
    <row r="202" spans="1:11" ht="13.5">
      <c r="A202" s="139"/>
      <c r="B202" s="101"/>
      <c r="C202" s="101"/>
      <c r="D202" s="101"/>
      <c r="E202" s="102"/>
      <c r="F202" s="102"/>
      <c r="G202" s="102"/>
      <c r="H202" s="102"/>
      <c r="I202" s="101"/>
      <c r="J202" s="103"/>
    </row>
    <row r="203" spans="1:11" ht="13.5">
      <c r="K203" s="102"/>
    </row>
    <row r="204" spans="1:11" ht="13.5">
      <c r="K204" s="102"/>
    </row>
    <row r="205" spans="1:11" ht="13.5">
      <c r="K205" s="102"/>
    </row>
    <row r="206" spans="1:11" ht="13.5">
      <c r="K206" s="102"/>
    </row>
    <row r="207" spans="1:11" ht="13.5">
      <c r="K207" s="102"/>
    </row>
    <row r="208" spans="1:11" ht="13.5">
      <c r="K208" s="102"/>
    </row>
    <row r="226" spans="8:8">
      <c r="H226" s="1"/>
    </row>
    <row r="227" spans="8:8">
      <c r="H227" s="1"/>
    </row>
    <row r="228" spans="8:8">
      <c r="H228" s="1"/>
    </row>
    <row r="229" spans="8:8">
      <c r="H229" s="1"/>
    </row>
    <row r="230" spans="8:8">
      <c r="H230" s="1"/>
    </row>
    <row r="231" spans="8:8">
      <c r="H231" s="1"/>
    </row>
    <row r="232" spans="8:8">
      <c r="H232" s="1"/>
    </row>
    <row r="233" spans="8:8">
      <c r="H233" s="1"/>
    </row>
    <row r="234" spans="8:8">
      <c r="H234" s="1"/>
    </row>
    <row r="235" spans="8:8">
      <c r="H235" s="1"/>
    </row>
    <row r="236" spans="8:8">
      <c r="H236" s="1"/>
    </row>
    <row r="237" spans="8:8">
      <c r="H237" s="1"/>
    </row>
    <row r="238" spans="8:8">
      <c r="H238" s="1"/>
    </row>
    <row r="239" spans="8:8">
      <c r="H239" s="1"/>
    </row>
    <row r="240" spans="8:8">
      <c r="H240" s="1"/>
    </row>
    <row r="241" spans="8:8">
      <c r="H241" s="1"/>
    </row>
    <row r="242" spans="8:8">
      <c r="H242" s="1"/>
    </row>
    <row r="243" spans="8:8">
      <c r="H243" s="1"/>
    </row>
    <row r="244" spans="8:8">
      <c r="H244" s="1"/>
    </row>
    <row r="245" spans="8:8">
      <c r="H245" s="1"/>
    </row>
    <row r="246" spans="8:8">
      <c r="H246" s="1"/>
    </row>
    <row r="247" spans="8:8">
      <c r="H247" s="1"/>
    </row>
    <row r="248" spans="8:8">
      <c r="H248" s="1"/>
    </row>
    <row r="249" spans="8:8">
      <c r="H249" s="1"/>
    </row>
    <row r="250" spans="8:8">
      <c r="H250" s="1"/>
    </row>
    <row r="251" spans="8:8">
      <c r="H251" s="1"/>
    </row>
    <row r="252" spans="8:8">
      <c r="H252" s="1"/>
    </row>
    <row r="253" spans="8:8">
      <c r="H253" s="1"/>
    </row>
    <row r="254" spans="8:8">
      <c r="H254" s="1"/>
    </row>
    <row r="255" spans="8:8">
      <c r="H255" s="1"/>
    </row>
    <row r="256" spans="8:8">
      <c r="H256" s="1"/>
    </row>
    <row r="257" spans="8:8">
      <c r="H257" s="1"/>
    </row>
    <row r="258" spans="8:8">
      <c r="H258" s="1"/>
    </row>
    <row r="259" spans="8:8">
      <c r="H259" s="1"/>
    </row>
    <row r="260" spans="8:8">
      <c r="H260" s="1"/>
    </row>
    <row r="261" spans="8:8">
      <c r="H261" s="1"/>
    </row>
    <row r="262" spans="8:8">
      <c r="H262" s="1"/>
    </row>
    <row r="263" spans="8:8">
      <c r="H263" s="1"/>
    </row>
    <row r="264" spans="8:8">
      <c r="H264" s="1"/>
    </row>
    <row r="265" spans="8:8">
      <c r="H265" s="1"/>
    </row>
    <row r="266" spans="8:8">
      <c r="H266" s="1"/>
    </row>
    <row r="267" spans="8:8">
      <c r="H267" s="1"/>
    </row>
    <row r="268" spans="8:8">
      <c r="H268" s="1"/>
    </row>
    <row r="269" spans="8:8">
      <c r="H269" s="1"/>
    </row>
    <row r="270" spans="8:8">
      <c r="H270" s="1"/>
    </row>
    <row r="271" spans="8:8">
      <c r="H271" s="1"/>
    </row>
    <row r="272" spans="8:8">
      <c r="H272" s="1"/>
    </row>
    <row r="273" spans="8:8">
      <c r="H273" s="1"/>
    </row>
    <row r="274" spans="8:8">
      <c r="H274" s="1"/>
    </row>
    <row r="275" spans="8:8">
      <c r="H275" s="1"/>
    </row>
    <row r="276" spans="8:8">
      <c r="H276" s="1"/>
    </row>
    <row r="277" spans="8:8">
      <c r="H277" s="1"/>
    </row>
    <row r="278" spans="8:8">
      <c r="H278" s="1"/>
    </row>
    <row r="279" spans="8:8">
      <c r="H279" s="1"/>
    </row>
    <row r="280" spans="8:8">
      <c r="H280" s="1"/>
    </row>
    <row r="281" spans="8:8">
      <c r="H281" s="1"/>
    </row>
    <row r="282" spans="8:8">
      <c r="H282" s="1"/>
    </row>
    <row r="283" spans="8:8">
      <c r="H283" s="1"/>
    </row>
    <row r="284" spans="8:8">
      <c r="H284" s="1"/>
    </row>
    <row r="285" spans="8:8">
      <c r="H285" s="1"/>
    </row>
    <row r="286" spans="8:8">
      <c r="H286" s="1"/>
    </row>
    <row r="287" spans="8:8">
      <c r="H287" s="1"/>
    </row>
    <row r="288" spans="8:8">
      <c r="H288" s="1"/>
    </row>
    <row r="289" spans="8:8">
      <c r="H289" s="1"/>
    </row>
    <row r="290" spans="8:8">
      <c r="H290" s="1"/>
    </row>
    <row r="291" spans="8:8">
      <c r="H291" s="1"/>
    </row>
    <row r="292" spans="8:8">
      <c r="H292" s="1"/>
    </row>
    <row r="293" spans="8:8">
      <c r="H293" s="1"/>
    </row>
    <row r="294" spans="8:8">
      <c r="H294" s="1"/>
    </row>
    <row r="295" spans="8:8">
      <c r="H295" s="1"/>
    </row>
    <row r="296" spans="8:8">
      <c r="H296" s="1"/>
    </row>
    <row r="297" spans="8:8">
      <c r="H297" s="1"/>
    </row>
    <row r="298" spans="8:8">
      <c r="H298" s="1"/>
    </row>
    <row r="299" spans="8:8">
      <c r="H299" s="1"/>
    </row>
    <row r="300" spans="8:8">
      <c r="H300" s="1"/>
    </row>
    <row r="301" spans="8:8">
      <c r="H301" s="1"/>
    </row>
    <row r="302" spans="8:8">
      <c r="H302" s="1"/>
    </row>
    <row r="303" spans="8:8">
      <c r="H303" s="1"/>
    </row>
    <row r="304" spans="8:8">
      <c r="H304" s="1"/>
    </row>
    <row r="305" spans="8:8">
      <c r="H305" s="1"/>
    </row>
    <row r="306" spans="8:8">
      <c r="H306" s="1"/>
    </row>
    <row r="307" spans="8:8">
      <c r="H307" s="1"/>
    </row>
    <row r="308" spans="8:8">
      <c r="H308" s="1"/>
    </row>
    <row r="309" spans="8:8">
      <c r="H309" s="1"/>
    </row>
    <row r="310" spans="8:8">
      <c r="H310" s="1"/>
    </row>
    <row r="311" spans="8:8">
      <c r="H311" s="1"/>
    </row>
    <row r="312" spans="8:8">
      <c r="H312" s="1"/>
    </row>
    <row r="313" spans="8:8">
      <c r="H313" s="1"/>
    </row>
    <row r="314" spans="8:8">
      <c r="H314" s="1"/>
    </row>
    <row r="315" spans="8:8">
      <c r="H315" s="1"/>
    </row>
    <row r="316" spans="8:8">
      <c r="H316" s="1"/>
    </row>
    <row r="317" spans="8:8">
      <c r="H317" s="1"/>
    </row>
    <row r="318" spans="8:8">
      <c r="H318" s="1"/>
    </row>
    <row r="319" spans="8:8">
      <c r="H319" s="1"/>
    </row>
    <row r="320" spans="8:8">
      <c r="H320" s="1"/>
    </row>
    <row r="321" spans="8:8">
      <c r="H321" s="1"/>
    </row>
    <row r="322" spans="8:8">
      <c r="H322" s="1"/>
    </row>
    <row r="323" spans="8:8">
      <c r="H323" s="1"/>
    </row>
    <row r="324" spans="8:8">
      <c r="H324" s="1"/>
    </row>
    <row r="325" spans="8:8">
      <c r="H325" s="1"/>
    </row>
    <row r="326" spans="8:8">
      <c r="H326" s="1"/>
    </row>
    <row r="327" spans="8:8">
      <c r="H327" s="1"/>
    </row>
    <row r="328" spans="8:8">
      <c r="H328" s="1"/>
    </row>
    <row r="329" spans="8:8">
      <c r="H329" s="1"/>
    </row>
    <row r="330" spans="8:8">
      <c r="H330" s="1"/>
    </row>
    <row r="331" spans="8:8">
      <c r="H331" s="1"/>
    </row>
    <row r="332" spans="8:8">
      <c r="H332" s="1"/>
    </row>
    <row r="333" spans="8:8">
      <c r="H333" s="1"/>
    </row>
    <row r="334" spans="8:8">
      <c r="H334" s="1"/>
    </row>
    <row r="335" spans="8:8">
      <c r="H335" s="1"/>
    </row>
    <row r="336" spans="8:8">
      <c r="H336" s="1"/>
    </row>
    <row r="337" spans="8:8">
      <c r="H337" s="1"/>
    </row>
    <row r="338" spans="8:8">
      <c r="H338" s="1"/>
    </row>
    <row r="339" spans="8:8">
      <c r="H339" s="1"/>
    </row>
    <row r="340" spans="8:8">
      <c r="H340" s="1"/>
    </row>
    <row r="341" spans="8:8">
      <c r="H341" s="1"/>
    </row>
    <row r="342" spans="8:8">
      <c r="H342" s="1"/>
    </row>
    <row r="343" spans="8:8">
      <c r="H343" s="1"/>
    </row>
    <row r="344" spans="8:8">
      <c r="H344" s="1"/>
    </row>
    <row r="345" spans="8:8">
      <c r="H345" s="1"/>
    </row>
    <row r="346" spans="8:8">
      <c r="H346" s="1"/>
    </row>
    <row r="347" spans="8:8">
      <c r="H347" s="1"/>
    </row>
    <row r="348" spans="8:8">
      <c r="H348" s="1"/>
    </row>
    <row r="349" spans="8:8">
      <c r="H349" s="1"/>
    </row>
    <row r="350" spans="8:8">
      <c r="H350" s="1"/>
    </row>
    <row r="351" spans="8:8">
      <c r="H351" s="1"/>
    </row>
    <row r="352" spans="8:8">
      <c r="H352" s="1"/>
    </row>
    <row r="353" spans="8:8">
      <c r="H353" s="1"/>
    </row>
    <row r="354" spans="8:8">
      <c r="H354" s="1"/>
    </row>
    <row r="355" spans="8:8">
      <c r="H355" s="1"/>
    </row>
    <row r="356" spans="8:8">
      <c r="H356" s="1"/>
    </row>
    <row r="357" spans="8:8">
      <c r="H357" s="1"/>
    </row>
    <row r="358" spans="8:8">
      <c r="H358" s="1"/>
    </row>
    <row r="359" spans="8:8">
      <c r="H359" s="1"/>
    </row>
    <row r="360" spans="8:8">
      <c r="H360" s="1"/>
    </row>
    <row r="361" spans="8:8">
      <c r="H361" s="1"/>
    </row>
    <row r="362" spans="8:8">
      <c r="H362" s="1"/>
    </row>
    <row r="363" spans="8:8">
      <c r="H363" s="1"/>
    </row>
    <row r="364" spans="8:8">
      <c r="H364" s="1"/>
    </row>
    <row r="365" spans="8:8">
      <c r="H365" s="1"/>
    </row>
    <row r="366" spans="8:8">
      <c r="H366" s="1"/>
    </row>
    <row r="367" spans="8:8">
      <c r="H367" s="1"/>
    </row>
    <row r="368" spans="8:8">
      <c r="H368" s="1"/>
    </row>
    <row r="369" spans="8:8">
      <c r="H369" s="1"/>
    </row>
    <row r="370" spans="8:8">
      <c r="H370" s="1"/>
    </row>
    <row r="371" spans="8:8">
      <c r="H371" s="1"/>
    </row>
    <row r="372" spans="8:8">
      <c r="H372" s="1"/>
    </row>
    <row r="373" spans="8:8">
      <c r="H373" s="1"/>
    </row>
    <row r="374" spans="8:8">
      <c r="H374" s="1"/>
    </row>
    <row r="375" spans="8:8">
      <c r="H375" s="1"/>
    </row>
    <row r="376" spans="8:8">
      <c r="H376" s="1"/>
    </row>
    <row r="377" spans="8:8">
      <c r="H377" s="1"/>
    </row>
    <row r="378" spans="8:8">
      <c r="H378" s="1"/>
    </row>
    <row r="379" spans="8:8">
      <c r="H379" s="1"/>
    </row>
    <row r="380" spans="8:8">
      <c r="H380" s="1"/>
    </row>
    <row r="381" spans="8:8">
      <c r="H381" s="1"/>
    </row>
    <row r="382" spans="8:8">
      <c r="H382" s="1"/>
    </row>
    <row r="383" spans="8:8">
      <c r="H383" s="1"/>
    </row>
    <row r="384" spans="8:8">
      <c r="H384" s="1"/>
    </row>
    <row r="385" spans="8:8">
      <c r="H385" s="1"/>
    </row>
    <row r="386" spans="8:8">
      <c r="H386" s="1"/>
    </row>
    <row r="387" spans="8:8">
      <c r="H387" s="1"/>
    </row>
    <row r="388" spans="8:8">
      <c r="H388" s="1"/>
    </row>
    <row r="389" spans="8:8">
      <c r="H389" s="1"/>
    </row>
    <row r="390" spans="8:8">
      <c r="H390" s="1"/>
    </row>
    <row r="391" spans="8:8">
      <c r="H391" s="1"/>
    </row>
    <row r="392" spans="8:8">
      <c r="H392" s="1"/>
    </row>
    <row r="393" spans="8:8">
      <c r="H393" s="1"/>
    </row>
    <row r="394" spans="8:8">
      <c r="H394" s="1"/>
    </row>
    <row r="395" spans="8:8">
      <c r="H395" s="1"/>
    </row>
    <row r="396" spans="8:8">
      <c r="H396" s="1"/>
    </row>
    <row r="397" spans="8:8">
      <c r="H397" s="1"/>
    </row>
    <row r="398" spans="8:8">
      <c r="H398" s="1"/>
    </row>
    <row r="399" spans="8:8">
      <c r="H399" s="1"/>
    </row>
    <row r="400" spans="8:8">
      <c r="H400" s="1"/>
    </row>
    <row r="401" spans="8:8">
      <c r="H401" s="1"/>
    </row>
    <row r="402" spans="8:8">
      <c r="H402" s="1"/>
    </row>
    <row r="403" spans="8:8">
      <c r="H403" s="1"/>
    </row>
    <row r="404" spans="8:8">
      <c r="H404" s="1"/>
    </row>
    <row r="405" spans="8:8">
      <c r="H405" s="1"/>
    </row>
    <row r="406" spans="8:8">
      <c r="H406" s="1"/>
    </row>
    <row r="407" spans="8:8">
      <c r="H407" s="1"/>
    </row>
    <row r="408" spans="8:8">
      <c r="H408" s="1"/>
    </row>
    <row r="409" spans="8:8">
      <c r="H409" s="1"/>
    </row>
    <row r="410" spans="8:8">
      <c r="H410" s="1"/>
    </row>
    <row r="411" spans="8:8">
      <c r="H411" s="1"/>
    </row>
    <row r="412" spans="8:8">
      <c r="H412" s="1"/>
    </row>
    <row r="413" spans="8:8">
      <c r="H413" s="1"/>
    </row>
    <row r="414" spans="8:8">
      <c r="H414" s="1"/>
    </row>
    <row r="415" spans="8:8">
      <c r="H415" s="1"/>
    </row>
    <row r="416" spans="8:8">
      <c r="H416" s="1"/>
    </row>
    <row r="417" spans="8:8">
      <c r="H417" s="1"/>
    </row>
    <row r="418" spans="8:8">
      <c r="H418" s="1"/>
    </row>
    <row r="419" spans="8:8">
      <c r="H419" s="1"/>
    </row>
    <row r="420" spans="8:8">
      <c r="H420" s="1"/>
    </row>
    <row r="421" spans="8:8">
      <c r="H421" s="1"/>
    </row>
    <row r="422" spans="8:8">
      <c r="H422" s="1"/>
    </row>
    <row r="423" spans="8:8">
      <c r="H423" s="1"/>
    </row>
    <row r="424" spans="8:8">
      <c r="H424" s="1"/>
    </row>
    <row r="425" spans="8:8">
      <c r="H425" s="1"/>
    </row>
    <row r="426" spans="8:8">
      <c r="H426" s="1"/>
    </row>
    <row r="427" spans="8:8">
      <c r="H427" s="1"/>
    </row>
    <row r="428" spans="8:8">
      <c r="H428" s="1"/>
    </row>
    <row r="429" spans="8:8">
      <c r="H429" s="1"/>
    </row>
    <row r="430" spans="8:8">
      <c r="H430" s="1"/>
    </row>
    <row r="431" spans="8:8">
      <c r="H431" s="1"/>
    </row>
    <row r="432" spans="8:8">
      <c r="H432" s="1"/>
    </row>
    <row r="433" spans="8:8">
      <c r="H433" s="1"/>
    </row>
    <row r="434" spans="8:8">
      <c r="H434" s="1"/>
    </row>
    <row r="435" spans="8:8">
      <c r="H435" s="1"/>
    </row>
    <row r="436" spans="8:8">
      <c r="H436" s="1"/>
    </row>
    <row r="437" spans="8:8">
      <c r="H437" s="1"/>
    </row>
    <row r="438" spans="8:8">
      <c r="H438" s="1"/>
    </row>
    <row r="439" spans="8:8">
      <c r="H439" s="1"/>
    </row>
    <row r="440" spans="8:8">
      <c r="H440" s="1"/>
    </row>
    <row r="441" spans="8:8">
      <c r="H441" s="1"/>
    </row>
    <row r="442" spans="8:8">
      <c r="H442" s="1"/>
    </row>
    <row r="443" spans="8:8">
      <c r="H443" s="1"/>
    </row>
    <row r="444" spans="8:8">
      <c r="H444" s="1"/>
    </row>
    <row r="445" spans="8:8">
      <c r="H445" s="1"/>
    </row>
    <row r="446" spans="8:8">
      <c r="H446" s="1"/>
    </row>
    <row r="447" spans="8:8">
      <c r="H447" s="1"/>
    </row>
    <row r="448" spans="8:8">
      <c r="H448" s="1"/>
    </row>
    <row r="449" spans="8:8">
      <c r="H449" s="1"/>
    </row>
    <row r="450" spans="8:8">
      <c r="H450" s="1"/>
    </row>
    <row r="451" spans="8:8">
      <c r="H451" s="1"/>
    </row>
    <row r="452" spans="8:8">
      <c r="H452" s="1"/>
    </row>
    <row r="453" spans="8:8">
      <c r="H453" s="1"/>
    </row>
    <row r="454" spans="8:8">
      <c r="H454" s="1"/>
    </row>
    <row r="455" spans="8:8">
      <c r="H455" s="1"/>
    </row>
    <row r="456" spans="8:8">
      <c r="H456" s="1"/>
    </row>
    <row r="457" spans="8:8">
      <c r="H457" s="1"/>
    </row>
    <row r="458" spans="8:8">
      <c r="H458" s="1"/>
    </row>
    <row r="459" spans="8:8">
      <c r="H459" s="1"/>
    </row>
    <row r="460" spans="8:8">
      <c r="H460" s="1"/>
    </row>
    <row r="461" spans="8:8">
      <c r="H461" s="1"/>
    </row>
    <row r="462" spans="8:8">
      <c r="H462" s="1"/>
    </row>
    <row r="463" spans="8:8">
      <c r="H463" s="1"/>
    </row>
    <row r="464" spans="8:8">
      <c r="H464" s="1"/>
    </row>
    <row r="465" spans="8:8">
      <c r="H465" s="1"/>
    </row>
    <row r="466" spans="8:8">
      <c r="H466" s="1"/>
    </row>
    <row r="467" spans="8:8">
      <c r="H467" s="1"/>
    </row>
    <row r="468" spans="8:8">
      <c r="H468" s="1"/>
    </row>
    <row r="469" spans="8:8">
      <c r="H469" s="1"/>
    </row>
    <row r="470" spans="8:8">
      <c r="H470" s="1"/>
    </row>
    <row r="471" spans="8:8">
      <c r="H471" s="1"/>
    </row>
    <row r="472" spans="8:8">
      <c r="H472" s="1"/>
    </row>
    <row r="473" spans="8:8">
      <c r="H473" s="1"/>
    </row>
    <row r="474" spans="8:8">
      <c r="H474" s="1"/>
    </row>
    <row r="475" spans="8:8">
      <c r="H475" s="1"/>
    </row>
    <row r="476" spans="8:8">
      <c r="H476" s="1"/>
    </row>
    <row r="477" spans="8:8">
      <c r="H477" s="1"/>
    </row>
    <row r="478" spans="8:8">
      <c r="H478" s="1"/>
    </row>
    <row r="479" spans="8:8">
      <c r="H479" s="1"/>
    </row>
    <row r="480" spans="8:8">
      <c r="H480" s="1"/>
    </row>
    <row r="481" spans="8:8">
      <c r="H481" s="1"/>
    </row>
    <row r="482" spans="8:8">
      <c r="H482" s="1"/>
    </row>
    <row r="483" spans="8:8">
      <c r="H483" s="1"/>
    </row>
    <row r="484" spans="8:8">
      <c r="H484" s="1"/>
    </row>
    <row r="485" spans="8:8">
      <c r="H485" s="1"/>
    </row>
    <row r="486" spans="8:8">
      <c r="H486" s="1"/>
    </row>
    <row r="487" spans="8:8">
      <c r="H487" s="1"/>
    </row>
    <row r="488" spans="8:8">
      <c r="H488" s="1"/>
    </row>
    <row r="489" spans="8:8">
      <c r="H489" s="1"/>
    </row>
    <row r="490" spans="8:8">
      <c r="H490" s="1"/>
    </row>
    <row r="491" spans="8:8">
      <c r="H491" s="1"/>
    </row>
    <row r="492" spans="8:8">
      <c r="H492" s="1"/>
    </row>
    <row r="493" spans="8:8">
      <c r="H493" s="1"/>
    </row>
    <row r="494" spans="8:8">
      <c r="H494" s="1"/>
    </row>
    <row r="495" spans="8:8">
      <c r="H495" s="1"/>
    </row>
    <row r="496" spans="8:8">
      <c r="H496" s="1"/>
    </row>
    <row r="497" spans="8:8">
      <c r="H497" s="1"/>
    </row>
    <row r="498" spans="8:8">
      <c r="H498" s="1"/>
    </row>
    <row r="499" spans="8:8">
      <c r="H499" s="1"/>
    </row>
    <row r="500" spans="8:8">
      <c r="H500" s="1"/>
    </row>
    <row r="501" spans="8:8">
      <c r="H501" s="1"/>
    </row>
    <row r="502" spans="8:8">
      <c r="H502" s="1"/>
    </row>
    <row r="503" spans="8:8">
      <c r="H503" s="1"/>
    </row>
    <row r="504" spans="8:8">
      <c r="H504" s="1"/>
    </row>
    <row r="505" spans="8:8">
      <c r="H505" s="1"/>
    </row>
    <row r="506" spans="8:8">
      <c r="H506" s="1"/>
    </row>
    <row r="507" spans="8:8">
      <c r="H507" s="1"/>
    </row>
    <row r="508" spans="8:8">
      <c r="H508" s="1"/>
    </row>
    <row r="509" spans="8:8">
      <c r="H509" s="1"/>
    </row>
    <row r="510" spans="8:8">
      <c r="H510" s="1"/>
    </row>
    <row r="511" spans="8:8">
      <c r="H511" s="1"/>
    </row>
    <row r="512" spans="8:8">
      <c r="H512" s="1"/>
    </row>
    <row r="513" spans="8:8">
      <c r="H513" s="1"/>
    </row>
    <row r="514" spans="8:8">
      <c r="H514" s="1"/>
    </row>
    <row r="515" spans="8:8">
      <c r="H515" s="1"/>
    </row>
    <row r="516" spans="8:8">
      <c r="H516" s="1"/>
    </row>
    <row r="517" spans="8:8">
      <c r="H517" s="1"/>
    </row>
    <row r="518" spans="8:8">
      <c r="H518" s="1"/>
    </row>
    <row r="519" spans="8:8">
      <c r="H519" s="1"/>
    </row>
    <row r="520" spans="8:8">
      <c r="H520" s="1"/>
    </row>
    <row r="521" spans="8:8">
      <c r="H521" s="1"/>
    </row>
    <row r="522" spans="8:8">
      <c r="H522" s="1"/>
    </row>
    <row r="523" spans="8:8">
      <c r="H523" s="1"/>
    </row>
    <row r="524" spans="8:8">
      <c r="H524" s="1"/>
    </row>
    <row r="525" spans="8:8">
      <c r="H525" s="1"/>
    </row>
    <row r="526" spans="8:8">
      <c r="H526" s="1"/>
    </row>
    <row r="527" spans="8:8">
      <c r="H527" s="1"/>
    </row>
    <row r="528" spans="8:8">
      <c r="H528" s="1"/>
    </row>
    <row r="529" spans="8:8">
      <c r="H529" s="1"/>
    </row>
    <row r="530" spans="8:8">
      <c r="H530" s="1"/>
    </row>
    <row r="531" spans="8:8">
      <c r="H531" s="1"/>
    </row>
    <row r="532" spans="8:8">
      <c r="H532" s="1"/>
    </row>
    <row r="533" spans="8:8">
      <c r="H533" s="1"/>
    </row>
    <row r="534" spans="8:8">
      <c r="H534" s="1"/>
    </row>
    <row r="535" spans="8:8">
      <c r="H535" s="1"/>
    </row>
    <row r="536" spans="8:8">
      <c r="H536" s="1"/>
    </row>
    <row r="537" spans="8:8">
      <c r="H537" s="1"/>
    </row>
    <row r="538" spans="8:8">
      <c r="H538" s="1"/>
    </row>
    <row r="539" spans="8:8">
      <c r="H539" s="1"/>
    </row>
    <row r="540" spans="8:8">
      <c r="H540" s="1"/>
    </row>
    <row r="541" spans="8:8">
      <c r="H541" s="1"/>
    </row>
    <row r="542" spans="8:8">
      <c r="H542" s="1"/>
    </row>
    <row r="543" spans="8:8">
      <c r="H543" s="1"/>
    </row>
    <row r="544" spans="8:8">
      <c r="H544" s="1"/>
    </row>
    <row r="545" spans="8:8">
      <c r="H545" s="1"/>
    </row>
    <row r="546" spans="8:8">
      <c r="H546" s="1"/>
    </row>
    <row r="547" spans="8:8">
      <c r="H547" s="1"/>
    </row>
    <row r="548" spans="8:8">
      <c r="H548" s="1"/>
    </row>
    <row r="549" spans="8:8">
      <c r="H549" s="1"/>
    </row>
    <row r="550" spans="8:8">
      <c r="H550" s="1"/>
    </row>
    <row r="551" spans="8:8">
      <c r="H551" s="1"/>
    </row>
    <row r="552" spans="8:8">
      <c r="H552" s="1"/>
    </row>
    <row r="553" spans="8:8">
      <c r="H553" s="1"/>
    </row>
    <row r="554" spans="8:8">
      <c r="H554" s="1"/>
    </row>
    <row r="555" spans="8:8">
      <c r="H555" s="1"/>
    </row>
    <row r="556" spans="8:8">
      <c r="H556" s="1"/>
    </row>
    <row r="557" spans="8:8">
      <c r="H557" s="1"/>
    </row>
    <row r="558" spans="8:8">
      <c r="H558" s="1"/>
    </row>
    <row r="559" spans="8:8">
      <c r="H559" s="1"/>
    </row>
    <row r="560" spans="8:8">
      <c r="H560" s="1"/>
    </row>
    <row r="561" spans="8:8">
      <c r="H561" s="1"/>
    </row>
    <row r="562" spans="8:8">
      <c r="H562" s="1"/>
    </row>
    <row r="563" spans="8:8">
      <c r="H563" s="1"/>
    </row>
    <row r="564" spans="8:8">
      <c r="H564" s="1"/>
    </row>
    <row r="565" spans="8:8">
      <c r="H565" s="1"/>
    </row>
    <row r="566" spans="8:8">
      <c r="H566" s="1"/>
    </row>
    <row r="567" spans="8:8">
      <c r="H567" s="1"/>
    </row>
    <row r="568" spans="8:8">
      <c r="H568" s="1"/>
    </row>
    <row r="569" spans="8:8">
      <c r="H569" s="1"/>
    </row>
    <row r="570" spans="8:8">
      <c r="H570" s="1"/>
    </row>
    <row r="571" spans="8:8">
      <c r="H571" s="1"/>
    </row>
    <row r="572" spans="8:8">
      <c r="H572" s="1"/>
    </row>
    <row r="573" spans="8:8">
      <c r="H573" s="1"/>
    </row>
    <row r="574" spans="8:8">
      <c r="H574" s="1"/>
    </row>
    <row r="575" spans="8:8">
      <c r="H575" s="1"/>
    </row>
    <row r="576" spans="8:8">
      <c r="H576" s="1"/>
    </row>
    <row r="577" spans="8:8">
      <c r="H577" s="1"/>
    </row>
    <row r="578" spans="8:8">
      <c r="H578" s="1"/>
    </row>
    <row r="579" spans="8:8">
      <c r="H579" s="1"/>
    </row>
    <row r="580" spans="8:8">
      <c r="H580" s="1"/>
    </row>
    <row r="581" spans="8:8">
      <c r="H581" s="1"/>
    </row>
    <row r="582" spans="8:8">
      <c r="H582" s="1"/>
    </row>
    <row r="583" spans="8:8">
      <c r="H583" s="1"/>
    </row>
    <row r="584" spans="8:8">
      <c r="H584" s="1"/>
    </row>
    <row r="585" spans="8:8">
      <c r="H585" s="1"/>
    </row>
    <row r="586" spans="8:8">
      <c r="H586" s="1"/>
    </row>
    <row r="587" spans="8:8">
      <c r="H587" s="1"/>
    </row>
    <row r="588" spans="8:8">
      <c r="H588" s="1"/>
    </row>
    <row r="589" spans="8:8">
      <c r="H589" s="1"/>
    </row>
    <row r="590" spans="8:8">
      <c r="H590" s="1"/>
    </row>
    <row r="591" spans="8:8">
      <c r="H591" s="1"/>
    </row>
    <row r="592" spans="8:8">
      <c r="H592" s="1"/>
    </row>
    <row r="593" spans="8:8">
      <c r="H593" s="1"/>
    </row>
    <row r="594" spans="8:8">
      <c r="H594" s="1"/>
    </row>
    <row r="595" spans="8:8">
      <c r="H595" s="1"/>
    </row>
    <row r="596" spans="8:8">
      <c r="H596" s="1"/>
    </row>
    <row r="597" spans="8:8">
      <c r="H597" s="1"/>
    </row>
    <row r="598" spans="8:8">
      <c r="H598" s="1"/>
    </row>
    <row r="599" spans="8:8">
      <c r="H599" s="1"/>
    </row>
    <row r="600" spans="8:8">
      <c r="H600" s="1"/>
    </row>
    <row r="601" spans="8:8">
      <c r="H601" s="1"/>
    </row>
    <row r="602" spans="8:8">
      <c r="H602" s="1"/>
    </row>
    <row r="603" spans="8:8">
      <c r="H603" s="1"/>
    </row>
    <row r="604" spans="8:8">
      <c r="H604" s="1"/>
    </row>
    <row r="605" spans="8:8">
      <c r="H605" s="1"/>
    </row>
    <row r="606" spans="8:8">
      <c r="H606" s="1"/>
    </row>
    <row r="607" spans="8:8">
      <c r="H607" s="1"/>
    </row>
    <row r="608" spans="8:8">
      <c r="H608" s="1"/>
    </row>
    <row r="609" spans="8:8">
      <c r="H609" s="1"/>
    </row>
    <row r="610" spans="8:8">
      <c r="H610" s="1"/>
    </row>
    <row r="611" spans="8:8">
      <c r="H611" s="1"/>
    </row>
    <row r="612" spans="8:8">
      <c r="H612" s="1"/>
    </row>
    <row r="613" spans="8:8">
      <c r="H613" s="1"/>
    </row>
    <row r="614" spans="8:8">
      <c r="H614" s="1"/>
    </row>
    <row r="615" spans="8:8">
      <c r="H615" s="1"/>
    </row>
    <row r="616" spans="8:8">
      <c r="H616" s="1"/>
    </row>
    <row r="617" spans="8:8">
      <c r="H617" s="1"/>
    </row>
    <row r="618" spans="8:8">
      <c r="H618" s="1"/>
    </row>
    <row r="619" spans="8:8">
      <c r="H619" s="1"/>
    </row>
    <row r="620" spans="8:8">
      <c r="H620" s="1"/>
    </row>
    <row r="621" spans="8:8">
      <c r="H621" s="1"/>
    </row>
    <row r="622" spans="8:8">
      <c r="H622" s="1"/>
    </row>
    <row r="623" spans="8:8">
      <c r="H623" s="1"/>
    </row>
    <row r="624" spans="8:8">
      <c r="H624" s="1"/>
    </row>
    <row r="625" spans="8:8">
      <c r="H625" s="1"/>
    </row>
    <row r="626" spans="8:8">
      <c r="H626" s="1"/>
    </row>
    <row r="627" spans="8:8">
      <c r="H627" s="1"/>
    </row>
    <row r="628" spans="8:8">
      <c r="H628" s="1"/>
    </row>
    <row r="629" spans="8:8">
      <c r="H629" s="1"/>
    </row>
    <row r="630" spans="8:8">
      <c r="H630" s="1"/>
    </row>
    <row r="631" spans="8:8">
      <c r="H631" s="1"/>
    </row>
    <row r="632" spans="8:8">
      <c r="H632" s="1"/>
    </row>
    <row r="633" spans="8:8">
      <c r="H633" s="1"/>
    </row>
    <row r="634" spans="8:8">
      <c r="H634" s="1"/>
    </row>
    <row r="635" spans="8:8">
      <c r="H635" s="1"/>
    </row>
    <row r="636" spans="8:8">
      <c r="H636" s="1"/>
    </row>
    <row r="637" spans="8:8">
      <c r="H637" s="1"/>
    </row>
    <row r="638" spans="8:8">
      <c r="H638" s="1"/>
    </row>
    <row r="639" spans="8:8">
      <c r="H639" s="1"/>
    </row>
    <row r="640" spans="8:8">
      <c r="H640" s="1"/>
    </row>
    <row r="641" spans="8:8">
      <c r="H641" s="1"/>
    </row>
    <row r="642" spans="8:8">
      <c r="H642" s="1"/>
    </row>
    <row r="643" spans="8:8">
      <c r="H643" s="1"/>
    </row>
    <row r="644" spans="8:8">
      <c r="H644" s="1"/>
    </row>
    <row r="645" spans="8:8">
      <c r="H645" s="1"/>
    </row>
    <row r="646" spans="8:8">
      <c r="H646" s="1"/>
    </row>
    <row r="647" spans="8:8">
      <c r="H647" s="1"/>
    </row>
    <row r="648" spans="8:8">
      <c r="H648" s="1"/>
    </row>
    <row r="649" spans="8:8">
      <c r="H649" s="1"/>
    </row>
    <row r="650" spans="8:8">
      <c r="H650" s="1"/>
    </row>
    <row r="651" spans="8:8">
      <c r="H651" s="1"/>
    </row>
    <row r="652" spans="8:8">
      <c r="H652" s="1"/>
    </row>
    <row r="653" spans="8:8">
      <c r="H653" s="1"/>
    </row>
    <row r="654" spans="8:8">
      <c r="H654" s="1"/>
    </row>
    <row r="655" spans="8:8">
      <c r="H655" s="1"/>
    </row>
    <row r="656" spans="8:8">
      <c r="H656" s="1"/>
    </row>
    <row r="657" spans="8:8">
      <c r="H657" s="1"/>
    </row>
    <row r="658" spans="8:8">
      <c r="H658" s="1"/>
    </row>
    <row r="659" spans="8:8">
      <c r="H659" s="1"/>
    </row>
    <row r="660" spans="8:8">
      <c r="H660" s="1"/>
    </row>
    <row r="661" spans="8:8">
      <c r="H661" s="1"/>
    </row>
    <row r="662" spans="8:8">
      <c r="H662" s="1"/>
    </row>
    <row r="663" spans="8:8">
      <c r="H663" s="1"/>
    </row>
    <row r="664" spans="8:8">
      <c r="H664" s="1"/>
    </row>
    <row r="665" spans="8:8">
      <c r="H665" s="1"/>
    </row>
    <row r="666" spans="8:8">
      <c r="H666" s="1"/>
    </row>
    <row r="667" spans="8:8">
      <c r="H667" s="1"/>
    </row>
    <row r="668" spans="8:8">
      <c r="H668" s="1"/>
    </row>
    <row r="669" spans="8:8">
      <c r="H669" s="1"/>
    </row>
    <row r="670" spans="8:8">
      <c r="H670" s="1"/>
    </row>
    <row r="671" spans="8:8">
      <c r="H671" s="1"/>
    </row>
    <row r="672" spans="8:8">
      <c r="H672" s="1"/>
    </row>
    <row r="673" spans="8:8">
      <c r="H673" s="1"/>
    </row>
    <row r="674" spans="8:8">
      <c r="H674" s="1"/>
    </row>
    <row r="675" spans="8:8">
      <c r="H675" s="1"/>
    </row>
    <row r="676" spans="8:8">
      <c r="H676" s="1"/>
    </row>
    <row r="677" spans="8:8">
      <c r="H677" s="1"/>
    </row>
    <row r="678" spans="8:8">
      <c r="H678" s="1"/>
    </row>
    <row r="679" spans="8:8">
      <c r="H679" s="1"/>
    </row>
    <row r="680" spans="8:8">
      <c r="H680" s="1"/>
    </row>
    <row r="681" spans="8:8">
      <c r="H681" s="1"/>
    </row>
    <row r="682" spans="8:8">
      <c r="H682" s="1"/>
    </row>
    <row r="683" spans="8:8">
      <c r="H683" s="1"/>
    </row>
    <row r="684" spans="8:8">
      <c r="H684" s="1"/>
    </row>
    <row r="685" spans="8:8">
      <c r="H685" s="1"/>
    </row>
    <row r="686" spans="8:8">
      <c r="H686" s="1"/>
    </row>
    <row r="687" spans="8:8">
      <c r="H687" s="1"/>
    </row>
    <row r="688" spans="8:8">
      <c r="H688" s="1"/>
    </row>
    <row r="689" spans="8:8">
      <c r="H689" s="1"/>
    </row>
    <row r="690" spans="8:8">
      <c r="H690" s="1"/>
    </row>
    <row r="691" spans="8:8">
      <c r="H691" s="1"/>
    </row>
    <row r="692" spans="8:8">
      <c r="H692" s="1"/>
    </row>
    <row r="693" spans="8:8">
      <c r="H693" s="1"/>
    </row>
    <row r="694" spans="8:8">
      <c r="H694" s="1"/>
    </row>
    <row r="695" spans="8:8">
      <c r="H695" s="1"/>
    </row>
    <row r="696" spans="8:8">
      <c r="H696" s="1"/>
    </row>
    <row r="697" spans="8:8">
      <c r="H697" s="1"/>
    </row>
    <row r="698" spans="8:8">
      <c r="H698" s="1"/>
    </row>
    <row r="699" spans="8:8">
      <c r="H699" s="1"/>
    </row>
    <row r="700" spans="8:8">
      <c r="H700" s="1"/>
    </row>
    <row r="701" spans="8:8">
      <c r="H701" s="1"/>
    </row>
    <row r="702" spans="8:8">
      <c r="H702" s="1"/>
    </row>
    <row r="703" spans="8:8">
      <c r="H703" s="1"/>
    </row>
    <row r="704" spans="8:8">
      <c r="H704" s="1"/>
    </row>
    <row r="705" spans="8:8">
      <c r="H705" s="1"/>
    </row>
    <row r="706" spans="8:8">
      <c r="H706" s="1"/>
    </row>
    <row r="707" spans="8:8">
      <c r="H707" s="1"/>
    </row>
    <row r="708" spans="8:8">
      <c r="H708" s="1"/>
    </row>
    <row r="709" spans="8:8">
      <c r="H709" s="1"/>
    </row>
    <row r="710" spans="8:8">
      <c r="H710" s="1"/>
    </row>
    <row r="711" spans="8:8">
      <c r="H711" s="1"/>
    </row>
    <row r="712" spans="8:8">
      <c r="H712" s="1"/>
    </row>
    <row r="713" spans="8:8">
      <c r="H713" s="1"/>
    </row>
    <row r="714" spans="8:8">
      <c r="H714" s="1"/>
    </row>
    <row r="715" spans="8:8">
      <c r="H715" s="1"/>
    </row>
    <row r="716" spans="8:8">
      <c r="H716" s="1"/>
    </row>
    <row r="717" spans="8:8">
      <c r="H717" s="1"/>
    </row>
    <row r="718" spans="8:8">
      <c r="H718" s="1"/>
    </row>
    <row r="719" spans="8:8">
      <c r="H719" s="1"/>
    </row>
    <row r="720" spans="8:8">
      <c r="H720" s="1"/>
    </row>
    <row r="721" spans="8:8">
      <c r="H721" s="1"/>
    </row>
    <row r="722" spans="8:8">
      <c r="H722" s="1"/>
    </row>
    <row r="723" spans="8:8">
      <c r="H723" s="1"/>
    </row>
    <row r="724" spans="8:8">
      <c r="H724" s="1"/>
    </row>
    <row r="725" spans="8:8">
      <c r="H725" s="1"/>
    </row>
    <row r="726" spans="8:8">
      <c r="H726" s="1"/>
    </row>
    <row r="727" spans="8:8">
      <c r="H727" s="1"/>
    </row>
    <row r="728" spans="8:8">
      <c r="H728" s="1"/>
    </row>
    <row r="729" spans="8:8">
      <c r="H729" s="1"/>
    </row>
    <row r="730" spans="8:8">
      <c r="H730" s="1"/>
    </row>
    <row r="731" spans="8:8">
      <c r="H731" s="1"/>
    </row>
    <row r="732" spans="8:8">
      <c r="H732" s="1"/>
    </row>
    <row r="733" spans="8:8">
      <c r="H733" s="1"/>
    </row>
    <row r="734" spans="8:8">
      <c r="H734" s="1"/>
    </row>
    <row r="735" spans="8:8">
      <c r="H735" s="1"/>
    </row>
    <row r="736" spans="8:8">
      <c r="H736" s="1"/>
    </row>
    <row r="737" spans="8:8">
      <c r="H737" s="1"/>
    </row>
    <row r="738" spans="8:8">
      <c r="H738" s="1"/>
    </row>
    <row r="739" spans="8:8">
      <c r="H739" s="1"/>
    </row>
    <row r="740" spans="8:8">
      <c r="H740" s="1"/>
    </row>
    <row r="741" spans="8:8">
      <c r="H741" s="1"/>
    </row>
    <row r="742" spans="8:8">
      <c r="H742" s="1"/>
    </row>
    <row r="743" spans="8:8">
      <c r="H743" s="1"/>
    </row>
    <row r="744" spans="8:8">
      <c r="H744" s="1"/>
    </row>
    <row r="745" spans="8:8">
      <c r="H745" s="1"/>
    </row>
    <row r="746" spans="8:8">
      <c r="H746" s="1"/>
    </row>
    <row r="747" spans="8:8">
      <c r="H747" s="1"/>
    </row>
    <row r="748" spans="8:8">
      <c r="H748" s="1"/>
    </row>
    <row r="749" spans="8:8">
      <c r="H749" s="1"/>
    </row>
    <row r="750" spans="8:8">
      <c r="H750" s="1"/>
    </row>
    <row r="751" spans="8:8">
      <c r="H751" s="1"/>
    </row>
    <row r="752" spans="8:8">
      <c r="H752" s="1"/>
    </row>
    <row r="753" spans="8:8">
      <c r="H753" s="1"/>
    </row>
    <row r="754" spans="8:8">
      <c r="H754" s="1"/>
    </row>
    <row r="755" spans="8:8">
      <c r="H755" s="1"/>
    </row>
    <row r="756" spans="8:8">
      <c r="H756" s="1"/>
    </row>
    <row r="757" spans="8:8">
      <c r="H757" s="1"/>
    </row>
    <row r="758" spans="8:8">
      <c r="H758" s="1"/>
    </row>
    <row r="759" spans="8:8">
      <c r="H759" s="1"/>
    </row>
    <row r="760" spans="8:8">
      <c r="H760" s="1"/>
    </row>
    <row r="761" spans="8:8">
      <c r="H761" s="1"/>
    </row>
    <row r="762" spans="8:8">
      <c r="H762" s="1"/>
    </row>
    <row r="763" spans="8:8">
      <c r="H763" s="1"/>
    </row>
    <row r="764" spans="8:8">
      <c r="H764" s="1"/>
    </row>
    <row r="765" spans="8:8">
      <c r="H765" s="1"/>
    </row>
    <row r="766" spans="8:8">
      <c r="H766" s="1"/>
    </row>
    <row r="767" spans="8:8">
      <c r="H767" s="1"/>
    </row>
    <row r="768" spans="8:8">
      <c r="H768" s="1"/>
    </row>
    <row r="769" spans="8:8">
      <c r="H769" s="1"/>
    </row>
    <row r="770" spans="8:8">
      <c r="H770" s="1"/>
    </row>
    <row r="771" spans="8:8">
      <c r="H771" s="1"/>
    </row>
    <row r="772" spans="8:8">
      <c r="H772" s="1"/>
    </row>
    <row r="773" spans="8:8">
      <c r="H773" s="1"/>
    </row>
    <row r="774" spans="8:8">
      <c r="H774" s="1"/>
    </row>
    <row r="775" spans="8:8">
      <c r="H775" s="1"/>
    </row>
    <row r="776" spans="8:8">
      <c r="H776" s="1"/>
    </row>
    <row r="777" spans="8:8">
      <c r="H777" s="1"/>
    </row>
    <row r="778" spans="8:8">
      <c r="H778" s="1"/>
    </row>
    <row r="779" spans="8:8">
      <c r="H779" s="1"/>
    </row>
    <row r="780" spans="8:8">
      <c r="H780" s="1"/>
    </row>
    <row r="781" spans="8:8">
      <c r="H781" s="1"/>
    </row>
    <row r="782" spans="8:8">
      <c r="H782" s="1"/>
    </row>
    <row r="783" spans="8:8">
      <c r="H783" s="1"/>
    </row>
    <row r="784" spans="8:8">
      <c r="H784" s="1"/>
    </row>
    <row r="785" spans="8:8">
      <c r="H785" s="1"/>
    </row>
    <row r="786" spans="8:8">
      <c r="H786" s="1"/>
    </row>
    <row r="787" spans="8:8">
      <c r="H787" s="1"/>
    </row>
    <row r="788" spans="8:8">
      <c r="H788" s="1"/>
    </row>
    <row r="789" spans="8:8">
      <c r="H789" s="1"/>
    </row>
    <row r="790" spans="8:8">
      <c r="H790" s="1"/>
    </row>
    <row r="791" spans="8:8">
      <c r="H791" s="1"/>
    </row>
    <row r="792" spans="8:8">
      <c r="H792" s="1"/>
    </row>
    <row r="793" spans="8:8">
      <c r="H793" s="1"/>
    </row>
    <row r="794" spans="8:8">
      <c r="H794" s="1"/>
    </row>
    <row r="795" spans="8:8">
      <c r="H795" s="1"/>
    </row>
    <row r="796" spans="8:8">
      <c r="H796" s="1"/>
    </row>
    <row r="797" spans="8:8">
      <c r="H797" s="1"/>
    </row>
    <row r="798" spans="8:8">
      <c r="H798" s="1"/>
    </row>
    <row r="799" spans="8:8">
      <c r="H799" s="1"/>
    </row>
    <row r="800" spans="8:8">
      <c r="H800" s="1"/>
    </row>
    <row r="801" spans="8:8">
      <c r="H801" s="1"/>
    </row>
    <row r="802" spans="8:8">
      <c r="H802" s="1"/>
    </row>
    <row r="803" spans="8:8">
      <c r="H803" s="1"/>
    </row>
    <row r="804" spans="8:8">
      <c r="H804" s="1"/>
    </row>
    <row r="805" spans="8:8">
      <c r="H805" s="1"/>
    </row>
    <row r="806" spans="8:8">
      <c r="H806" s="1"/>
    </row>
    <row r="807" spans="8:8">
      <c r="H807" s="1"/>
    </row>
    <row r="808" spans="8:8">
      <c r="H808" s="1"/>
    </row>
    <row r="809" spans="8:8">
      <c r="H809" s="1"/>
    </row>
    <row r="810" spans="8:8">
      <c r="H810" s="1"/>
    </row>
    <row r="811" spans="8:8">
      <c r="H811" s="1"/>
    </row>
    <row r="812" spans="8:8">
      <c r="H812" s="1"/>
    </row>
    <row r="813" spans="8:8">
      <c r="H813" s="1"/>
    </row>
    <row r="814" spans="8:8">
      <c r="H814" s="1"/>
    </row>
    <row r="815" spans="8:8">
      <c r="H815" s="1"/>
    </row>
    <row r="816" spans="8:8">
      <c r="H816" s="1"/>
    </row>
    <row r="817" spans="8:8">
      <c r="H817" s="1"/>
    </row>
    <row r="818" spans="8:8">
      <c r="H818" s="1"/>
    </row>
    <row r="819" spans="8:8">
      <c r="H819" s="1"/>
    </row>
    <row r="820" spans="8:8">
      <c r="H820" s="1"/>
    </row>
    <row r="821" spans="8:8">
      <c r="H821" s="1"/>
    </row>
    <row r="822" spans="8:8">
      <c r="H822" s="1"/>
    </row>
    <row r="823" spans="8:8">
      <c r="H823" s="1"/>
    </row>
    <row r="824" spans="8:8">
      <c r="H824" s="1"/>
    </row>
    <row r="825" spans="8:8">
      <c r="H825" s="1"/>
    </row>
    <row r="826" spans="8:8">
      <c r="H826" s="1"/>
    </row>
    <row r="827" spans="8:8">
      <c r="H827" s="1"/>
    </row>
    <row r="828" spans="8:8">
      <c r="H828" s="1"/>
    </row>
    <row r="829" spans="8:8">
      <c r="H829" s="1"/>
    </row>
    <row r="830" spans="8:8">
      <c r="H830" s="1"/>
    </row>
    <row r="831" spans="8:8">
      <c r="H831" s="1"/>
    </row>
    <row r="832" spans="8:8">
      <c r="H832" s="1"/>
    </row>
    <row r="833" spans="8:8">
      <c r="H833" s="1"/>
    </row>
    <row r="834" spans="8:8">
      <c r="H834" s="1"/>
    </row>
    <row r="835" spans="8:8">
      <c r="H835" s="1"/>
    </row>
    <row r="836" spans="8:8">
      <c r="H836" s="1"/>
    </row>
    <row r="837" spans="8:8">
      <c r="H837" s="1"/>
    </row>
    <row r="838" spans="8:8">
      <c r="H838" s="1"/>
    </row>
    <row r="839" spans="8:8">
      <c r="H839" s="1"/>
    </row>
    <row r="840" spans="8:8">
      <c r="H840" s="1"/>
    </row>
    <row r="841" spans="8:8">
      <c r="H841" s="1"/>
    </row>
    <row r="842" spans="8:8">
      <c r="H842" s="1"/>
    </row>
    <row r="843" spans="8:8">
      <c r="H843" s="1"/>
    </row>
    <row r="844" spans="8:8">
      <c r="H844" s="1"/>
    </row>
    <row r="845" spans="8:8">
      <c r="H845" s="1"/>
    </row>
    <row r="846" spans="8:8">
      <c r="H846" s="1"/>
    </row>
    <row r="847" spans="8:8">
      <c r="H847" s="1"/>
    </row>
    <row r="848" spans="8:8">
      <c r="H848" s="1"/>
    </row>
    <row r="849" spans="8:8">
      <c r="H849" s="1"/>
    </row>
    <row r="850" spans="8:8">
      <c r="H850" s="1"/>
    </row>
    <row r="851" spans="8:8">
      <c r="H851" s="1"/>
    </row>
    <row r="852" spans="8:8">
      <c r="H852" s="1"/>
    </row>
    <row r="853" spans="8:8">
      <c r="H853" s="1"/>
    </row>
    <row r="854" spans="8:8">
      <c r="H854" s="1"/>
    </row>
    <row r="855" spans="8:8">
      <c r="H855" s="1"/>
    </row>
    <row r="856" spans="8:8">
      <c r="H856" s="1"/>
    </row>
    <row r="857" spans="8:8">
      <c r="H857" s="1"/>
    </row>
    <row r="858" spans="8:8">
      <c r="H858" s="1"/>
    </row>
    <row r="859" spans="8:8">
      <c r="H859" s="1"/>
    </row>
    <row r="860" spans="8:8">
      <c r="H860" s="1"/>
    </row>
    <row r="861" spans="8:8">
      <c r="H861" s="1"/>
    </row>
    <row r="862" spans="8:8">
      <c r="H862" s="1"/>
    </row>
    <row r="863" spans="8:8">
      <c r="H863" s="1"/>
    </row>
    <row r="864" spans="8:8">
      <c r="H864" s="1"/>
    </row>
    <row r="865" spans="8:8">
      <c r="H865" s="1"/>
    </row>
    <row r="866" spans="8:8">
      <c r="H866" s="1"/>
    </row>
    <row r="867" spans="8:8">
      <c r="H867" s="1"/>
    </row>
    <row r="868" spans="8:8">
      <c r="H868" s="1"/>
    </row>
    <row r="869" spans="8:8">
      <c r="H869" s="1"/>
    </row>
    <row r="870" spans="8:8">
      <c r="H870" s="1"/>
    </row>
    <row r="871" spans="8:8">
      <c r="H871" s="1"/>
    </row>
    <row r="872" spans="8:8">
      <c r="H872" s="1"/>
    </row>
    <row r="873" spans="8:8">
      <c r="H873" s="1"/>
    </row>
    <row r="874" spans="8:8">
      <c r="H874" s="1"/>
    </row>
    <row r="875" spans="8:8">
      <c r="H875" s="1"/>
    </row>
    <row r="876" spans="8:8">
      <c r="H876" s="1"/>
    </row>
    <row r="877" spans="8:8">
      <c r="H877" s="1"/>
    </row>
    <row r="878" spans="8:8">
      <c r="H878" s="1"/>
    </row>
    <row r="879" spans="8:8">
      <c r="H879" s="1"/>
    </row>
    <row r="880" spans="8:8">
      <c r="H880" s="1"/>
    </row>
    <row r="881" spans="8:8">
      <c r="H881" s="1"/>
    </row>
    <row r="882" spans="8:8">
      <c r="H882" s="1"/>
    </row>
    <row r="883" spans="8:8">
      <c r="H883" s="1"/>
    </row>
    <row r="884" spans="8:8">
      <c r="H884" s="1"/>
    </row>
    <row r="885" spans="8:8">
      <c r="H885" s="1"/>
    </row>
    <row r="886" spans="8:8">
      <c r="H886" s="1"/>
    </row>
    <row r="887" spans="8:8">
      <c r="H887" s="1"/>
    </row>
    <row r="888" spans="8:8">
      <c r="H888" s="1"/>
    </row>
    <row r="889" spans="8:8">
      <c r="H889" s="1"/>
    </row>
    <row r="890" spans="8:8">
      <c r="H890" s="1"/>
    </row>
    <row r="891" spans="8:8">
      <c r="H891" s="1"/>
    </row>
    <row r="892" spans="8:8">
      <c r="H892" s="1"/>
    </row>
    <row r="893" spans="8:8">
      <c r="H893" s="1"/>
    </row>
    <row r="894" spans="8:8">
      <c r="H894" s="1"/>
    </row>
    <row r="895" spans="8:8">
      <c r="H895" s="1"/>
    </row>
    <row r="896" spans="8:8">
      <c r="H896" s="1"/>
    </row>
    <row r="897" spans="8:8">
      <c r="H897" s="1"/>
    </row>
    <row r="898" spans="8:8">
      <c r="H898" s="1"/>
    </row>
    <row r="899" spans="8:8">
      <c r="H899" s="1"/>
    </row>
    <row r="900" spans="8:8">
      <c r="H900" s="1"/>
    </row>
    <row r="901" spans="8:8">
      <c r="H901" s="1"/>
    </row>
    <row r="902" spans="8:8">
      <c r="H902" s="1"/>
    </row>
    <row r="903" spans="8:8">
      <c r="H903" s="1"/>
    </row>
    <row r="904" spans="8:8">
      <c r="H904" s="1"/>
    </row>
    <row r="905" spans="8:8">
      <c r="H905" s="1"/>
    </row>
    <row r="906" spans="8:8">
      <c r="H906" s="1"/>
    </row>
    <row r="907" spans="8:8">
      <c r="H907" s="1"/>
    </row>
    <row r="908" spans="8:8">
      <c r="H908" s="1"/>
    </row>
    <row r="909" spans="8:8">
      <c r="H909" s="1"/>
    </row>
    <row r="910" spans="8:8">
      <c r="H910" s="1"/>
    </row>
    <row r="911" spans="8:8">
      <c r="H911" s="1"/>
    </row>
    <row r="912" spans="8:8">
      <c r="H912" s="1"/>
    </row>
    <row r="913" spans="8:8">
      <c r="H913" s="1"/>
    </row>
    <row r="914" spans="8:8">
      <c r="H914" s="1"/>
    </row>
    <row r="915" spans="8:8">
      <c r="H915" s="1"/>
    </row>
    <row r="916" spans="8:8">
      <c r="H916" s="1"/>
    </row>
    <row r="917" spans="8:8">
      <c r="H917" s="1"/>
    </row>
    <row r="918" spans="8:8">
      <c r="H918" s="1"/>
    </row>
    <row r="919" spans="8:8">
      <c r="H919" s="1"/>
    </row>
    <row r="920" spans="8:8">
      <c r="H920" s="1"/>
    </row>
    <row r="921" spans="8:8">
      <c r="H921" s="1"/>
    </row>
    <row r="922" spans="8:8">
      <c r="H922" s="1"/>
    </row>
    <row r="923" spans="8:8">
      <c r="H923" s="1"/>
    </row>
    <row r="924" spans="8:8">
      <c r="H924" s="1"/>
    </row>
    <row r="925" spans="8:8">
      <c r="H925" s="1"/>
    </row>
    <row r="926" spans="8:8">
      <c r="H926" s="1"/>
    </row>
    <row r="927" spans="8:8">
      <c r="H927" s="1"/>
    </row>
    <row r="928" spans="8:8">
      <c r="H928" s="1"/>
    </row>
    <row r="929" spans="8:8">
      <c r="H929" s="1"/>
    </row>
    <row r="930" spans="8:8">
      <c r="H930" s="1"/>
    </row>
    <row r="931" spans="8:8">
      <c r="H931" s="1"/>
    </row>
    <row r="932" spans="8:8">
      <c r="H932" s="1"/>
    </row>
    <row r="933" spans="8:8">
      <c r="H933" s="1"/>
    </row>
    <row r="934" spans="8:8">
      <c r="H934" s="1"/>
    </row>
    <row r="935" spans="8:8">
      <c r="H935" s="1"/>
    </row>
    <row r="936" spans="8:8">
      <c r="H936" s="1"/>
    </row>
    <row r="937" spans="8:8">
      <c r="H937" s="1"/>
    </row>
    <row r="938" spans="8:8">
      <c r="H938" s="1"/>
    </row>
    <row r="939" spans="8:8">
      <c r="H939" s="1"/>
    </row>
    <row r="940" spans="8:8">
      <c r="H940" s="1"/>
    </row>
    <row r="941" spans="8:8">
      <c r="H941" s="1"/>
    </row>
    <row r="942" spans="8:8">
      <c r="H942" s="1"/>
    </row>
    <row r="943" spans="8:8">
      <c r="H943" s="1"/>
    </row>
    <row r="944" spans="8:8">
      <c r="H944" s="1"/>
    </row>
    <row r="945" spans="8:8">
      <c r="H945" s="1"/>
    </row>
    <row r="946" spans="8:8">
      <c r="H946" s="1"/>
    </row>
    <row r="947" spans="8:8">
      <c r="H947" s="1"/>
    </row>
    <row r="948" spans="8:8">
      <c r="H948" s="1"/>
    </row>
    <row r="949" spans="8:8">
      <c r="H949" s="1"/>
    </row>
    <row r="950" spans="8:8">
      <c r="H950" s="1"/>
    </row>
    <row r="951" spans="8:8">
      <c r="H951" s="1"/>
    </row>
    <row r="952" spans="8:8">
      <c r="H952" s="1"/>
    </row>
    <row r="953" spans="8:8">
      <c r="H953" s="1"/>
    </row>
    <row r="954" spans="8:8">
      <c r="H954" s="1"/>
    </row>
    <row r="955" spans="8:8">
      <c r="H955" s="1"/>
    </row>
    <row r="956" spans="8:8">
      <c r="H956" s="1"/>
    </row>
    <row r="957" spans="8:8">
      <c r="H957" s="1"/>
    </row>
    <row r="958" spans="8:8">
      <c r="H958" s="1"/>
    </row>
    <row r="959" spans="8:8">
      <c r="H959" s="1"/>
    </row>
    <row r="960" spans="8:8">
      <c r="H960" s="1"/>
    </row>
    <row r="961" spans="8:8">
      <c r="H961" s="1"/>
    </row>
    <row r="962" spans="8:8">
      <c r="H962" s="1"/>
    </row>
    <row r="963" spans="8:8">
      <c r="H963" s="1"/>
    </row>
    <row r="964" spans="8:8">
      <c r="H964" s="1"/>
    </row>
    <row r="965" spans="8:8">
      <c r="H965" s="1"/>
    </row>
    <row r="966" spans="8:8">
      <c r="H966" s="1"/>
    </row>
    <row r="967" spans="8:8">
      <c r="H967" s="1"/>
    </row>
    <row r="968" spans="8:8">
      <c r="H968" s="1"/>
    </row>
    <row r="969" spans="8:8">
      <c r="H969" s="1"/>
    </row>
    <row r="970" spans="8:8">
      <c r="H970" s="1"/>
    </row>
    <row r="971" spans="8:8">
      <c r="H971" s="1"/>
    </row>
    <row r="972" spans="8:8">
      <c r="H972" s="1"/>
    </row>
    <row r="973" spans="8:8">
      <c r="H973" s="1"/>
    </row>
    <row r="974" spans="8:8">
      <c r="H974" s="1"/>
    </row>
    <row r="975" spans="8:8">
      <c r="H975" s="1"/>
    </row>
    <row r="976" spans="8:8">
      <c r="H976" s="1"/>
    </row>
    <row r="977" spans="8:8">
      <c r="H977" s="1"/>
    </row>
    <row r="978" spans="8:8">
      <c r="H978" s="1"/>
    </row>
    <row r="979" spans="8:8">
      <c r="H979" s="1"/>
    </row>
    <row r="980" spans="8:8">
      <c r="H980" s="1"/>
    </row>
    <row r="981" spans="8:8">
      <c r="H981" s="1"/>
    </row>
    <row r="982" spans="8:8">
      <c r="H982" s="1"/>
    </row>
    <row r="983" spans="8:8">
      <c r="H983" s="1"/>
    </row>
    <row r="984" spans="8:8">
      <c r="H984" s="1"/>
    </row>
    <row r="985" spans="8:8">
      <c r="H985" s="1"/>
    </row>
    <row r="986" spans="8:8">
      <c r="H986" s="1"/>
    </row>
    <row r="987" spans="8:8">
      <c r="H987" s="1"/>
    </row>
    <row r="988" spans="8:8">
      <c r="H988" s="1"/>
    </row>
    <row r="989" spans="8:8">
      <c r="H989" s="1"/>
    </row>
    <row r="990" spans="8:8">
      <c r="H990" s="1"/>
    </row>
    <row r="991" spans="8:8">
      <c r="H991" s="1"/>
    </row>
    <row r="992" spans="8:8">
      <c r="H992" s="1"/>
    </row>
    <row r="993" spans="8:8">
      <c r="H993" s="1"/>
    </row>
    <row r="994" spans="8:8">
      <c r="H994" s="1"/>
    </row>
    <row r="995" spans="8:8">
      <c r="H995" s="1"/>
    </row>
    <row r="996" spans="8:8">
      <c r="H996" s="1"/>
    </row>
    <row r="997" spans="8:8">
      <c r="H997" s="1"/>
    </row>
    <row r="998" spans="8:8">
      <c r="H998" s="1"/>
    </row>
    <row r="999" spans="8:8">
      <c r="H999" s="1"/>
    </row>
    <row r="1000" spans="8:8">
      <c r="H1000" s="1"/>
    </row>
    <row r="1001" spans="8:8">
      <c r="H1001" s="1"/>
    </row>
    <row r="1002" spans="8:8">
      <c r="H1002" s="1"/>
    </row>
    <row r="1003" spans="8:8">
      <c r="H1003" s="1"/>
    </row>
    <row r="1004" spans="8:8">
      <c r="H1004" s="1"/>
    </row>
    <row r="1005" spans="8:8">
      <c r="H1005" s="1"/>
    </row>
    <row r="1006" spans="8:8">
      <c r="H1006" s="1"/>
    </row>
    <row r="1007" spans="8:8">
      <c r="H1007" s="1"/>
    </row>
    <row r="1008" spans="8:8">
      <c r="H1008" s="1"/>
    </row>
    <row r="1009" spans="8:8">
      <c r="H1009" s="1"/>
    </row>
    <row r="1010" spans="8:8">
      <c r="H1010" s="1"/>
    </row>
    <row r="1011" spans="8:8">
      <c r="H1011" s="1"/>
    </row>
    <row r="1012" spans="8:8">
      <c r="H1012" s="1"/>
    </row>
    <row r="1013" spans="8:8">
      <c r="H1013" s="1"/>
    </row>
    <row r="1014" spans="8:8">
      <c r="H1014" s="1"/>
    </row>
    <row r="1015" spans="8:8">
      <c r="H1015" s="1"/>
    </row>
    <row r="1016" spans="8:8">
      <c r="H1016" s="1"/>
    </row>
    <row r="1017" spans="8:8">
      <c r="H1017" s="1"/>
    </row>
    <row r="1018" spans="8:8">
      <c r="H1018" s="1"/>
    </row>
    <row r="1019" spans="8:8">
      <c r="H1019" s="1"/>
    </row>
    <row r="1020" spans="8:8">
      <c r="H1020" s="1"/>
    </row>
    <row r="1021" spans="8:8">
      <c r="H1021" s="1"/>
    </row>
    <row r="1022" spans="8:8">
      <c r="H1022" s="1"/>
    </row>
    <row r="1023" spans="8:8">
      <c r="H1023" s="1"/>
    </row>
    <row r="1024" spans="8:8">
      <c r="H1024" s="1"/>
    </row>
    <row r="1025" spans="8:8">
      <c r="H1025" s="1"/>
    </row>
    <row r="1026" spans="8:8">
      <c r="H1026" s="1"/>
    </row>
    <row r="1027" spans="8:8">
      <c r="H1027" s="1"/>
    </row>
    <row r="1028" spans="8:8">
      <c r="H1028" s="1"/>
    </row>
    <row r="1029" spans="8:8">
      <c r="H1029" s="1"/>
    </row>
    <row r="1030" spans="8:8">
      <c r="H1030" s="1"/>
    </row>
    <row r="1031" spans="8:8">
      <c r="H1031" s="1"/>
    </row>
    <row r="1032" spans="8:8">
      <c r="H1032" s="1"/>
    </row>
    <row r="1033" spans="8:8">
      <c r="H1033" s="1"/>
    </row>
    <row r="1034" spans="8:8">
      <c r="H1034" s="1"/>
    </row>
    <row r="1035" spans="8:8">
      <c r="H1035" s="1"/>
    </row>
    <row r="1036" spans="8:8">
      <c r="H1036" s="1"/>
    </row>
    <row r="1037" spans="8:8">
      <c r="H1037" s="1"/>
    </row>
    <row r="1038" spans="8:8">
      <c r="H1038" s="1"/>
    </row>
    <row r="1039" spans="8:8">
      <c r="H1039" s="1"/>
    </row>
    <row r="1040" spans="8:8">
      <c r="H1040" s="1"/>
    </row>
    <row r="1041" spans="8:8">
      <c r="H1041" s="1"/>
    </row>
    <row r="1042" spans="8:8">
      <c r="H1042" s="1"/>
    </row>
    <row r="1043" spans="8:8">
      <c r="H1043" s="1"/>
    </row>
    <row r="1044" spans="8:8">
      <c r="H1044" s="1"/>
    </row>
    <row r="1045" spans="8:8">
      <c r="H1045" s="1"/>
    </row>
    <row r="1046" spans="8:8">
      <c r="H1046" s="1"/>
    </row>
    <row r="1047" spans="8:8">
      <c r="H1047" s="1"/>
    </row>
  </sheetData>
  <mergeCells count="1">
    <mergeCell ref="A5:F5"/>
  </mergeCells>
  <conditionalFormatting sqref="A7:F11">
    <cfRule type="expression" dxfId="125" priority="1">
      <formula>$B7="Red"</formula>
    </cfRule>
    <cfRule type="expression" dxfId="124" priority="2">
      <formula>$B7="Navy"</formula>
    </cfRule>
  </conditionalFormatting>
  <conditionalFormatting sqref="A29:J202">
    <cfRule type="expression" dxfId="123" priority="180">
      <formula>$F29="Red"</formula>
    </cfRule>
    <cfRule type="expression" dxfId="122" priority="181">
      <formula>$F29="Navy"</formula>
    </cfRule>
  </conditionalFormatting>
  <conditionalFormatting sqref="A174:J175">
    <cfRule type="expression" dxfId="121" priority="111">
      <formula>$F174="Red"</formula>
    </cfRule>
    <cfRule type="expression" dxfId="120" priority="112">
      <formula>$F174="Navy"</formula>
    </cfRule>
    <cfRule type="expression" dxfId="119" priority="113">
      <formula>$F174="Red"</formula>
    </cfRule>
    <cfRule type="expression" dxfId="118" priority="114">
      <formula>$F174="Navy"</formula>
    </cfRule>
    <cfRule type="expression" dxfId="117" priority="116">
      <formula>$F174="Navy"</formula>
    </cfRule>
  </conditionalFormatting>
  <conditionalFormatting sqref="A174:J176 A197:J200">
    <cfRule type="expression" dxfId="116" priority="115">
      <formula>$F174="Red"</formula>
    </cfRule>
  </conditionalFormatting>
  <conditionalFormatting sqref="A176:J178">
    <cfRule type="expression" dxfId="115" priority="108">
      <formula>$F176="Navy"</formula>
    </cfRule>
  </conditionalFormatting>
  <conditionalFormatting sqref="A176:J179">
    <cfRule type="expression" dxfId="114" priority="107">
      <formula>$F176="Red"</formula>
    </cfRule>
  </conditionalFormatting>
  <conditionalFormatting sqref="A177:J178 A197:J199 A201:J202">
    <cfRule type="expression" dxfId="113" priority="106">
      <formula>$F177="Navy"</formula>
    </cfRule>
  </conditionalFormatting>
  <conditionalFormatting sqref="A177:J178 A198:J199 A201:J202">
    <cfRule type="expression" dxfId="112" priority="101">
      <formula>$F177="Red"</formula>
    </cfRule>
    <cfRule type="expression" dxfId="111" priority="102">
      <formula>$F177="Navy"</formula>
    </cfRule>
    <cfRule type="expression" dxfId="110" priority="103">
      <formula>$F177="Red"</formula>
    </cfRule>
    <cfRule type="expression" dxfId="109" priority="104">
      <formula>$F177="Navy"</formula>
    </cfRule>
    <cfRule type="expression" dxfId="108" priority="105">
      <formula>$F177="Red"</formula>
    </cfRule>
  </conditionalFormatting>
  <conditionalFormatting sqref="A179:J181">
    <cfRule type="expression" dxfId="107" priority="98">
      <formula>$F179="Navy"</formula>
    </cfRule>
  </conditionalFormatting>
  <conditionalFormatting sqref="A179:J182">
    <cfRule type="expression" dxfId="106" priority="97">
      <formula>$F179="Red"</formula>
    </cfRule>
  </conditionalFormatting>
  <conditionalFormatting sqref="A180:J181">
    <cfRule type="expression" dxfId="105" priority="91">
      <formula>$F180="Red"</formula>
    </cfRule>
    <cfRule type="expression" dxfId="104" priority="92">
      <formula>$F180="Navy"</formula>
    </cfRule>
    <cfRule type="expression" dxfId="103" priority="93">
      <formula>$F180="Red"</formula>
    </cfRule>
    <cfRule type="expression" dxfId="102" priority="94">
      <formula>$F180="Navy"</formula>
    </cfRule>
    <cfRule type="expression" dxfId="101" priority="95">
      <formula>$F180="Red"</formula>
    </cfRule>
    <cfRule type="expression" dxfId="100" priority="96">
      <formula>$F180="Navy"</formula>
    </cfRule>
  </conditionalFormatting>
  <conditionalFormatting sqref="A182:J184">
    <cfRule type="expression" dxfId="99" priority="88">
      <formula>$F182="Navy"</formula>
    </cfRule>
  </conditionalFormatting>
  <conditionalFormatting sqref="A182:J185">
    <cfRule type="expression" dxfId="98" priority="87">
      <formula>$F182="Red"</formula>
    </cfRule>
  </conditionalFormatting>
  <conditionalFormatting sqref="A183:J184">
    <cfRule type="expression" dxfId="97" priority="81">
      <formula>$F183="Red"</formula>
    </cfRule>
    <cfRule type="expression" dxfId="96" priority="82">
      <formula>$F183="Navy"</formula>
    </cfRule>
    <cfRule type="expression" dxfId="95" priority="83">
      <formula>$F183="Red"</formula>
    </cfRule>
    <cfRule type="expression" dxfId="94" priority="84">
      <formula>$F183="Navy"</formula>
    </cfRule>
    <cfRule type="expression" dxfId="93" priority="85">
      <formula>$F183="Red"</formula>
    </cfRule>
    <cfRule type="expression" dxfId="92" priority="86">
      <formula>$F183="Navy"</formula>
    </cfRule>
  </conditionalFormatting>
  <conditionalFormatting sqref="A185:J187">
    <cfRule type="expression" dxfId="91" priority="78">
      <formula>$F185="Navy"</formula>
    </cfRule>
  </conditionalFormatting>
  <conditionalFormatting sqref="A185:J188">
    <cfRule type="expression" dxfId="90" priority="77">
      <formula>$F185="Red"</formula>
    </cfRule>
  </conditionalFormatting>
  <conditionalFormatting sqref="A186:J187">
    <cfRule type="expression" dxfId="89" priority="71">
      <formula>$F186="Red"</formula>
    </cfRule>
    <cfRule type="expression" dxfId="88" priority="72">
      <formula>$F186="Navy"</formula>
    </cfRule>
    <cfRule type="expression" dxfId="87" priority="73">
      <formula>$F186="Red"</formula>
    </cfRule>
    <cfRule type="expression" dxfId="86" priority="74">
      <formula>$F186="Navy"</formula>
    </cfRule>
    <cfRule type="expression" dxfId="85" priority="75">
      <formula>$F186="Red"</formula>
    </cfRule>
    <cfRule type="expression" dxfId="84" priority="76">
      <formula>$F186="Navy"</formula>
    </cfRule>
  </conditionalFormatting>
  <conditionalFormatting sqref="A188:J190">
    <cfRule type="expression" dxfId="83" priority="68">
      <formula>$F188="Navy"</formula>
    </cfRule>
  </conditionalFormatting>
  <conditionalFormatting sqref="A188:J191">
    <cfRule type="expression" dxfId="82" priority="67">
      <formula>$F188="Red"</formula>
    </cfRule>
  </conditionalFormatting>
  <conditionalFormatting sqref="A189:J190">
    <cfRule type="expression" dxfId="81" priority="61">
      <formula>$F189="Red"</formula>
    </cfRule>
    <cfRule type="expression" dxfId="80" priority="62">
      <formula>$F189="Navy"</formula>
    </cfRule>
    <cfRule type="expression" dxfId="79" priority="63">
      <formula>$F189="Red"</formula>
    </cfRule>
    <cfRule type="expression" dxfId="78" priority="64">
      <formula>$F189="Navy"</formula>
    </cfRule>
    <cfRule type="expression" dxfId="77" priority="65">
      <formula>$F189="Red"</formula>
    </cfRule>
    <cfRule type="expression" dxfId="76" priority="66">
      <formula>$F189="Navy"</formula>
    </cfRule>
  </conditionalFormatting>
  <conditionalFormatting sqref="A191:J193">
    <cfRule type="expression" dxfId="75" priority="58">
      <formula>$F191="Navy"</formula>
    </cfRule>
  </conditionalFormatting>
  <conditionalFormatting sqref="A191:J194">
    <cfRule type="expression" dxfId="74" priority="57">
      <formula>$F191="Red"</formula>
    </cfRule>
  </conditionalFormatting>
  <conditionalFormatting sqref="A192:J193">
    <cfRule type="expression" dxfId="73" priority="51">
      <formula>$F192="Red"</formula>
    </cfRule>
    <cfRule type="expression" dxfId="72" priority="52">
      <formula>$F192="Navy"</formula>
    </cfRule>
    <cfRule type="expression" dxfId="71" priority="53">
      <formula>$F192="Red"</formula>
    </cfRule>
    <cfRule type="expression" dxfId="70" priority="54">
      <formula>$F192="Navy"</formula>
    </cfRule>
    <cfRule type="expression" dxfId="69" priority="55">
      <formula>$F192="Red"</formula>
    </cfRule>
    <cfRule type="expression" dxfId="68" priority="56">
      <formula>$F192="Navy"</formula>
    </cfRule>
  </conditionalFormatting>
  <conditionalFormatting sqref="A194:J196">
    <cfRule type="expression" dxfId="67" priority="47">
      <formula>$F194="Red"</formula>
    </cfRule>
    <cfRule type="expression" dxfId="66" priority="48">
      <formula>$F194="Navy"</formula>
    </cfRule>
  </conditionalFormatting>
  <conditionalFormatting sqref="A195:J196">
    <cfRule type="expression" dxfId="65" priority="41">
      <formula>$F195="Red"</formula>
    </cfRule>
    <cfRule type="expression" dxfId="64" priority="42">
      <formula>$F195="Navy"</formula>
    </cfRule>
    <cfRule type="expression" dxfId="63" priority="43">
      <formula>$F195="Red"</formula>
    </cfRule>
    <cfRule type="expression" dxfId="62" priority="44">
      <formula>$F195="Navy"</formula>
    </cfRule>
    <cfRule type="expression" dxfId="61" priority="45">
      <formula>$F195="Red"</formula>
    </cfRule>
    <cfRule type="expression" dxfId="60" priority="46">
      <formula>$F195="Navy"</formula>
    </cfRule>
  </conditionalFormatting>
  <conditionalFormatting sqref="B6">
    <cfRule type="expression" dxfId="59" priority="127">
      <formula>B6="Navy"</formula>
    </cfRule>
    <cfRule type="expression" dxfId="58" priority="128">
      <formula>B6="Red"</formula>
    </cfRule>
  </conditionalFormatting>
  <conditionalFormatting sqref="B173:B202 D173:D202 A176:J176 A179:J179 A182:J182 A185:J185 A188:J188 A191:J191 A194:J194 A197:J197 A200:J200">
    <cfRule type="expression" dxfId="57" priority="122">
      <formula>$F173="Navy"</formula>
    </cfRule>
    <cfRule type="expression" dxfId="56" priority="123">
      <formula>$F173="Red"</formula>
    </cfRule>
    <cfRule type="expression" dxfId="55" priority="124">
      <formula>$F173="Navy"</formula>
    </cfRule>
  </conditionalFormatting>
  <conditionalFormatting sqref="B173:B202 D173:D202">
    <cfRule type="expression" dxfId="54" priority="121">
      <formula>$F173="Red"</formula>
    </cfRule>
  </conditionalFormatting>
  <conditionalFormatting sqref="B16:F16 A17:F23">
    <cfRule type="expression" dxfId="53" priority="182">
      <formula>$B16="Red"</formula>
    </cfRule>
    <cfRule type="expression" dxfId="52" priority="183">
      <formula>$B16="Navy"</formula>
    </cfRule>
  </conditionalFormatting>
  <conditionalFormatting sqref="D150:D151">
    <cfRule type="expression" dxfId="51" priority="119">
      <formula>$F150="Red"</formula>
    </cfRule>
    <cfRule type="expression" dxfId="50" priority="120">
      <formula>$F150="Navy"</formula>
    </cfRule>
  </conditionalFormatting>
  <conditionalFormatting sqref="D153:D154">
    <cfRule type="expression" dxfId="49" priority="117">
      <formula>$F153="Red"</formula>
    </cfRule>
    <cfRule type="expression" dxfId="48" priority="118">
      <formula>$F153="Navy"</formula>
    </cfRule>
  </conditionalFormatting>
  <conditionalFormatting sqref="D162:D163">
    <cfRule type="expression" dxfId="47" priority="17">
      <formula>$F162="Red"</formula>
    </cfRule>
    <cfRule type="expression" dxfId="46" priority="18">
      <formula>$F162="Navy"</formula>
    </cfRule>
  </conditionalFormatting>
  <conditionalFormatting sqref="D165:D166">
    <cfRule type="expression" dxfId="45" priority="15">
      <formula>$F165="Red"</formula>
    </cfRule>
    <cfRule type="expression" dxfId="44" priority="16">
      <formula>$F165="Navy"</formula>
    </cfRule>
  </conditionalFormatting>
  <conditionalFormatting sqref="D168:D169">
    <cfRule type="expression" dxfId="43" priority="9">
      <formula>$F168="Red"</formula>
    </cfRule>
    <cfRule type="expression" dxfId="42" priority="10">
      <formula>$F168="Navy"</formula>
    </cfRule>
  </conditionalFormatting>
  <conditionalFormatting sqref="D171:D172">
    <cfRule type="expression" dxfId="41" priority="7">
      <formula>$F171="Red"</formula>
    </cfRule>
    <cfRule type="expression" dxfId="40" priority="8">
      <formula>$F171="Navy"</formula>
    </cfRule>
  </conditionalFormatting>
  <conditionalFormatting sqref="D174:D175">
    <cfRule type="expression" dxfId="39" priority="109">
      <formula>$F174="Red"</formula>
    </cfRule>
    <cfRule type="expression" dxfId="38" priority="110">
      <formula>$F174="Navy"</formula>
    </cfRule>
  </conditionalFormatting>
  <conditionalFormatting sqref="D177:D178">
    <cfRule type="expression" dxfId="37" priority="99">
      <formula>$F177="Red"</formula>
    </cfRule>
    <cfRule type="expression" dxfId="36" priority="100">
      <formula>$F177="Navy"</formula>
    </cfRule>
  </conditionalFormatting>
  <conditionalFormatting sqref="D180:D181">
    <cfRule type="expression" dxfId="35" priority="89">
      <formula>$F180="Red"</formula>
    </cfRule>
    <cfRule type="expression" dxfId="34" priority="90">
      <formula>$F180="Navy"</formula>
    </cfRule>
  </conditionalFormatting>
  <conditionalFormatting sqref="D183:D184">
    <cfRule type="expression" dxfId="33" priority="79">
      <formula>$F183="Red"</formula>
    </cfRule>
    <cfRule type="expression" dxfId="32" priority="80">
      <formula>$F183="Navy"</formula>
    </cfRule>
  </conditionalFormatting>
  <conditionalFormatting sqref="D186:D187">
    <cfRule type="expression" dxfId="31" priority="69">
      <formula>$F186="Red"</formula>
    </cfRule>
    <cfRule type="expression" dxfId="30" priority="70">
      <formula>$F186="Navy"</formula>
    </cfRule>
  </conditionalFormatting>
  <conditionalFormatting sqref="D189:D190">
    <cfRule type="expression" dxfId="29" priority="59">
      <formula>$F189="Red"</formula>
    </cfRule>
    <cfRule type="expression" dxfId="28" priority="60">
      <formula>$F189="Navy"</formula>
    </cfRule>
  </conditionalFormatting>
  <conditionalFormatting sqref="D192:D193">
    <cfRule type="expression" dxfId="27" priority="49">
      <formula>$F192="Red"</formula>
    </cfRule>
    <cfRule type="expression" dxfId="26" priority="50">
      <formula>$F192="Navy"</formula>
    </cfRule>
  </conditionalFormatting>
  <conditionalFormatting sqref="D195:D196">
    <cfRule type="expression" dxfId="25" priority="39">
      <formula>$F195="Red"</formula>
    </cfRule>
    <cfRule type="expression" dxfId="24" priority="40">
      <formula>$F195="Navy"</formula>
    </cfRule>
  </conditionalFormatting>
  <conditionalFormatting sqref="D198:D199">
    <cfRule type="expression" dxfId="23" priority="29">
      <formula>$F198="Red"</formula>
    </cfRule>
    <cfRule type="expression" dxfId="22" priority="30">
      <formula>$F198="Navy"</formula>
    </cfRule>
  </conditionalFormatting>
  <conditionalFormatting sqref="D201:D202">
    <cfRule type="expression" dxfId="21" priority="19">
      <formula>$F201="Red"</formula>
    </cfRule>
    <cfRule type="expression" dxfId="20" priority="20">
      <formula>$F201="Navy"</formula>
    </cfRule>
  </conditionalFormatting>
  <conditionalFormatting sqref="E29:E88">
    <cfRule type="expression" dxfId="19" priority="129">
      <formula>E29="W"</formula>
    </cfRule>
    <cfRule type="expression" dxfId="18" priority="130">
      <formula>E29="L"</formula>
    </cfRule>
  </conditionalFormatting>
  <conditionalFormatting sqref="H29:H88">
    <cfRule type="expression" dxfId="17" priority="131">
      <formula>H29="W"</formula>
    </cfRule>
    <cfRule type="expression" dxfId="16" priority="132">
      <formula>H29="L"</formula>
    </cfRule>
  </conditionalFormatting>
  <conditionalFormatting sqref="I29:I196">
    <cfRule type="expression" dxfId="15" priority="135">
      <formula>$I29="W"</formula>
    </cfRule>
    <cfRule type="expression" dxfId="14" priority="136">
      <formula>$I29="L"</formula>
    </cfRule>
    <cfRule type="expression" dxfId="13" priority="137">
      <formula>$I29="T"</formula>
    </cfRule>
  </conditionalFormatting>
  <conditionalFormatting sqref="K203 K206">
    <cfRule type="expression" dxfId="12" priority="225">
      <formula>$F197="Red"</formula>
    </cfRule>
    <cfRule type="expression" dxfId="11" priority="226">
      <formula>$F197="Navy"</formula>
    </cfRule>
  </conditionalFormatting>
  <conditionalFormatting sqref="K203:K208">
    <cfRule type="expression" dxfId="10" priority="184">
      <formula>$F197="Red"</formula>
    </cfRule>
    <cfRule type="expression" dxfId="9" priority="185">
      <formula>$F197="Navy"</formula>
    </cfRule>
    <cfRule type="expression" dxfId="8" priority="194">
      <formula>$F197="Red"</formula>
    </cfRule>
    <cfRule type="expression" dxfId="7" priority="201">
      <formula>$F197="Navy"</formula>
    </cfRule>
  </conditionalFormatting>
  <conditionalFormatting sqref="K204:K205 K207:K208">
    <cfRule type="expression" dxfId="6" priority="197">
      <formula>$F198="Navy"</formula>
    </cfRule>
    <cfRule type="expression" dxfId="5" priority="198">
      <formula>$F198="Red"</formula>
    </cfRule>
    <cfRule type="expression" dxfId="4" priority="199">
      <formula>$F198="Navy"</formula>
    </cfRule>
    <cfRule type="expression" dxfId="3" priority="200">
      <formula>$F198="Red"</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5"/>
  <sheetViews>
    <sheetView topLeftCell="G1" workbookViewId="0">
      <selection activeCell="U12" sqref="U12"/>
    </sheetView>
  </sheetViews>
  <sheetFormatPr defaultRowHeight="12.75"/>
  <cols>
    <col min="1" max="1" width="15" customWidth="1"/>
    <col min="2" max="2" width="21" customWidth="1"/>
    <col min="3" max="3" width="11" customWidth="1"/>
    <col min="4" max="7" width="10" customWidth="1"/>
    <col min="8" max="8" width="13" customWidth="1"/>
    <col min="9" max="9" width="14" customWidth="1"/>
    <col min="10" max="12" width="11" customWidth="1"/>
    <col min="13" max="14" width="12" customWidth="1"/>
    <col min="15" max="15" width="10" customWidth="1"/>
    <col min="16" max="16" width="25" customWidth="1"/>
    <col min="17" max="17" width="28" customWidth="1"/>
    <col min="18" max="18" width="20" customWidth="1"/>
    <col min="19" max="19" width="30" customWidth="1"/>
    <col min="20" max="20" width="44" customWidth="1"/>
    <col min="21" max="21" width="16" customWidth="1"/>
  </cols>
  <sheetData>
    <row r="1" spans="1:21">
      <c r="A1" s="204" t="s">
        <v>148</v>
      </c>
      <c r="B1" s="204"/>
      <c r="C1" s="204"/>
      <c r="D1" s="204"/>
      <c r="E1" s="204"/>
      <c r="F1" s="204"/>
      <c r="G1" s="204"/>
      <c r="H1" s="204"/>
      <c r="I1" s="204"/>
      <c r="J1" s="204"/>
      <c r="K1" s="204"/>
      <c r="L1" s="204"/>
    </row>
    <row r="2" spans="1:21">
      <c r="A2" s="204"/>
      <c r="B2" s="204"/>
      <c r="C2" s="204"/>
      <c r="D2" s="204"/>
      <c r="E2" s="204"/>
      <c r="F2" s="204"/>
      <c r="G2" s="204"/>
      <c r="H2" s="204"/>
      <c r="I2" s="204"/>
      <c r="J2" s="204"/>
      <c r="K2" s="204"/>
      <c r="L2" s="204"/>
    </row>
    <row r="4" spans="1:21" ht="25.5">
      <c r="A4" s="4" t="s">
        <v>149</v>
      </c>
      <c r="B4" s="4" t="s">
        <v>150</v>
      </c>
      <c r="C4" s="4" t="s">
        <v>80</v>
      </c>
      <c r="D4" s="4" t="s">
        <v>151</v>
      </c>
      <c r="E4" s="4" t="s">
        <v>152</v>
      </c>
      <c r="F4" s="4" t="s">
        <v>153</v>
      </c>
      <c r="G4" s="4" t="s">
        <v>154</v>
      </c>
      <c r="H4" s="4" t="s">
        <v>155</v>
      </c>
      <c r="I4" s="4" t="s">
        <v>156</v>
      </c>
      <c r="J4" s="4" t="s">
        <v>157</v>
      </c>
      <c r="K4" s="4" t="s">
        <v>158</v>
      </c>
      <c r="L4" s="4" t="s">
        <v>159</v>
      </c>
      <c r="M4" s="145" t="s">
        <v>160</v>
      </c>
      <c r="N4" s="145" t="s">
        <v>161</v>
      </c>
      <c r="O4" s="145" t="s">
        <v>162</v>
      </c>
      <c r="P4" s="145" t="s">
        <v>163</v>
      </c>
      <c r="Q4" s="145" t="s">
        <v>164</v>
      </c>
      <c r="R4" s="145" t="s">
        <v>165</v>
      </c>
      <c r="S4" s="145" t="s">
        <v>166</v>
      </c>
      <c r="T4" s="145" t="s">
        <v>167</v>
      </c>
      <c r="U4" s="145" t="s">
        <v>168</v>
      </c>
    </row>
    <row r="5" spans="1:21" ht="51">
      <c r="A5" s="2" t="s">
        <v>169</v>
      </c>
      <c r="B5" s="2" t="s">
        <v>42</v>
      </c>
      <c r="C5" s="2" t="s">
        <v>87</v>
      </c>
      <c r="D5" s="2" t="s">
        <v>170</v>
      </c>
      <c r="E5" s="2">
        <v>8</v>
      </c>
      <c r="F5" s="2">
        <v>6</v>
      </c>
      <c r="G5" s="2">
        <v>1</v>
      </c>
      <c r="H5" s="2">
        <f t="shared" ref="H5:H12" si="0">SUM(E5:G5)</f>
        <v>15</v>
      </c>
      <c r="I5" s="3">
        <f t="shared" ref="I5:I12" si="1">IF(H5=0,0,(E5+G5/2)/H5)</f>
        <v>0.56666666666666665</v>
      </c>
      <c r="J5" s="2">
        <f>'Live Leaderboard'!D60</f>
        <v>0</v>
      </c>
      <c r="K5" s="2">
        <f>'Live Leaderboard'!E60</f>
        <v>0</v>
      </c>
      <c r="L5" s="2">
        <f>'Live Leaderboard'!F60</f>
        <v>0</v>
      </c>
      <c r="M5" s="146" t="s">
        <v>171</v>
      </c>
      <c r="N5" s="146" t="s">
        <v>172</v>
      </c>
      <c r="O5" s="147">
        <v>13</v>
      </c>
      <c r="P5" s="148" t="s">
        <v>173</v>
      </c>
      <c r="Q5" s="148" t="s">
        <v>174</v>
      </c>
      <c r="R5" s="148" t="s">
        <v>175</v>
      </c>
      <c r="S5" s="148" t="s">
        <v>176</v>
      </c>
      <c r="T5" s="148" t="s">
        <v>602</v>
      </c>
      <c r="U5" s="146" t="s">
        <v>169</v>
      </c>
    </row>
    <row r="6" spans="1:21" ht="38.25">
      <c r="A6" s="2" t="s">
        <v>177</v>
      </c>
      <c r="B6" s="2" t="s">
        <v>41</v>
      </c>
      <c r="C6" s="2" t="s">
        <v>87</v>
      </c>
      <c r="D6" s="2" t="s">
        <v>170</v>
      </c>
      <c r="E6" s="2">
        <v>6</v>
      </c>
      <c r="F6" s="2">
        <v>8</v>
      </c>
      <c r="G6" s="2">
        <v>1</v>
      </c>
      <c r="H6" s="2">
        <f t="shared" si="0"/>
        <v>15</v>
      </c>
      <c r="I6" s="3">
        <f t="shared" si="1"/>
        <v>0.43333333333333335</v>
      </c>
      <c r="J6" s="2">
        <f>'Live Leaderboard'!D61</f>
        <v>0</v>
      </c>
      <c r="K6" s="2">
        <f>'Live Leaderboard'!E61</f>
        <v>0</v>
      </c>
      <c r="L6" s="2">
        <f>'Live Leaderboard'!F61</f>
        <v>0</v>
      </c>
      <c r="M6" s="146" t="s">
        <v>178</v>
      </c>
      <c r="N6" s="146" t="s">
        <v>179</v>
      </c>
      <c r="O6" s="147">
        <v>8</v>
      </c>
      <c r="P6" s="148" t="s">
        <v>180</v>
      </c>
      <c r="Q6" s="148" t="s">
        <v>181</v>
      </c>
      <c r="R6" s="148" t="s">
        <v>182</v>
      </c>
      <c r="S6" s="148" t="s">
        <v>183</v>
      </c>
      <c r="T6" s="148" t="s">
        <v>603</v>
      </c>
      <c r="U6" s="146" t="s">
        <v>177</v>
      </c>
    </row>
    <row r="7" spans="1:21" ht="38.25">
      <c r="A7" s="2" t="s">
        <v>184</v>
      </c>
      <c r="B7" s="2" t="s">
        <v>50</v>
      </c>
      <c r="C7" s="2" t="s">
        <v>87</v>
      </c>
      <c r="D7" s="2" t="s">
        <v>170</v>
      </c>
      <c r="E7" s="2">
        <v>5</v>
      </c>
      <c r="F7" s="2">
        <v>10</v>
      </c>
      <c r="G7" s="2">
        <v>0</v>
      </c>
      <c r="H7" s="2">
        <f t="shared" si="0"/>
        <v>15</v>
      </c>
      <c r="I7" s="3">
        <f t="shared" si="1"/>
        <v>0.33333333333333331</v>
      </c>
      <c r="J7" s="2">
        <f>'Live Leaderboard'!D62</f>
        <v>0</v>
      </c>
      <c r="K7" s="2">
        <f>'Live Leaderboard'!E62</f>
        <v>0</v>
      </c>
      <c r="L7" s="2">
        <f>'Live Leaderboard'!F62</f>
        <v>0</v>
      </c>
      <c r="M7" s="146" t="s">
        <v>185</v>
      </c>
      <c r="N7" s="146" t="s">
        <v>186</v>
      </c>
      <c r="O7" s="147">
        <v>21</v>
      </c>
      <c r="P7" s="148" t="s">
        <v>180</v>
      </c>
      <c r="Q7" s="148" t="s">
        <v>187</v>
      </c>
      <c r="R7" s="148" t="s">
        <v>188</v>
      </c>
      <c r="S7" s="148" t="s">
        <v>189</v>
      </c>
      <c r="T7" s="148" t="s">
        <v>604</v>
      </c>
      <c r="U7" s="146" t="s">
        <v>184</v>
      </c>
    </row>
    <row r="8" spans="1:21" ht="63.75">
      <c r="A8" s="2" t="s">
        <v>190</v>
      </c>
      <c r="B8" s="2" t="s">
        <v>51</v>
      </c>
      <c r="C8" s="2" t="s">
        <v>87</v>
      </c>
      <c r="D8" s="2" t="s">
        <v>170</v>
      </c>
      <c r="E8" s="2">
        <v>4</v>
      </c>
      <c r="F8" s="2">
        <v>11</v>
      </c>
      <c r="G8" s="2">
        <v>0</v>
      </c>
      <c r="H8" s="2">
        <f t="shared" si="0"/>
        <v>15</v>
      </c>
      <c r="I8" s="3">
        <f t="shared" si="1"/>
        <v>0.26666666666666666</v>
      </c>
      <c r="J8" s="2">
        <f>'Live Leaderboard'!D63</f>
        <v>0</v>
      </c>
      <c r="K8" s="2">
        <f>'Live Leaderboard'!E63</f>
        <v>0</v>
      </c>
      <c r="L8" s="2">
        <f>'Live Leaderboard'!F63</f>
        <v>0</v>
      </c>
      <c r="M8" s="146" t="s">
        <v>191</v>
      </c>
      <c r="N8" s="146" t="s">
        <v>192</v>
      </c>
      <c r="O8" s="147">
        <v>15</v>
      </c>
      <c r="P8" s="148" t="s">
        <v>193</v>
      </c>
      <c r="Q8" s="148" t="s">
        <v>194</v>
      </c>
      <c r="R8" s="148" t="s">
        <v>195</v>
      </c>
      <c r="S8" s="148" t="s">
        <v>196</v>
      </c>
      <c r="T8" s="148" t="s">
        <v>605</v>
      </c>
      <c r="U8" s="146" t="s">
        <v>190</v>
      </c>
    </row>
    <row r="9" spans="1:21" ht="38.25">
      <c r="A9" s="2" t="s">
        <v>197</v>
      </c>
      <c r="B9" s="2" t="s">
        <v>44</v>
      </c>
      <c r="C9" s="2" t="s">
        <v>88</v>
      </c>
      <c r="D9" s="2" t="s">
        <v>170</v>
      </c>
      <c r="E9" s="2">
        <v>8</v>
      </c>
      <c r="F9" s="2">
        <v>7</v>
      </c>
      <c r="G9" s="2">
        <v>0</v>
      </c>
      <c r="H9" s="2">
        <f t="shared" si="0"/>
        <v>15</v>
      </c>
      <c r="I9" s="3">
        <f t="shared" si="1"/>
        <v>0.53333333333333333</v>
      </c>
      <c r="J9" s="2">
        <f>'Live Leaderboard'!D64</f>
        <v>0</v>
      </c>
      <c r="K9" s="2">
        <f>'Live Leaderboard'!E64</f>
        <v>0</v>
      </c>
      <c r="L9" s="2">
        <f>'Live Leaderboard'!F64</f>
        <v>0</v>
      </c>
      <c r="M9" s="146" t="s">
        <v>198</v>
      </c>
      <c r="N9" s="146" t="s">
        <v>199</v>
      </c>
      <c r="O9" s="147">
        <v>16</v>
      </c>
      <c r="P9" s="148" t="s">
        <v>173</v>
      </c>
      <c r="Q9" s="148" t="s">
        <v>200</v>
      </c>
      <c r="R9" s="148" t="s">
        <v>201</v>
      </c>
      <c r="S9" s="148" t="s">
        <v>202</v>
      </c>
      <c r="T9" s="148" t="s">
        <v>599</v>
      </c>
      <c r="U9" s="146" t="s">
        <v>197</v>
      </c>
    </row>
    <row r="10" spans="1:21" ht="51">
      <c r="A10" s="2" t="s">
        <v>203</v>
      </c>
      <c r="B10" s="2" t="s">
        <v>52</v>
      </c>
      <c r="C10" s="2" t="s">
        <v>88</v>
      </c>
      <c r="D10" s="2" t="s">
        <v>170</v>
      </c>
      <c r="E10" s="2">
        <v>9</v>
      </c>
      <c r="F10" s="2">
        <v>6</v>
      </c>
      <c r="G10" s="2">
        <v>0</v>
      </c>
      <c r="H10" s="2">
        <f t="shared" si="0"/>
        <v>15</v>
      </c>
      <c r="I10" s="3">
        <f t="shared" si="1"/>
        <v>0.6</v>
      </c>
      <c r="J10" s="2">
        <f>'Live Leaderboard'!D65</f>
        <v>0</v>
      </c>
      <c r="K10" s="2">
        <f>'Live Leaderboard'!E65</f>
        <v>0</v>
      </c>
      <c r="L10" s="2">
        <f>'Live Leaderboard'!F65</f>
        <v>0</v>
      </c>
      <c r="M10" s="146" t="s">
        <v>204</v>
      </c>
      <c r="N10" s="146" t="s">
        <v>205</v>
      </c>
      <c r="O10" s="147">
        <v>12</v>
      </c>
      <c r="P10" s="148" t="s">
        <v>206</v>
      </c>
      <c r="Q10" s="148" t="s">
        <v>200</v>
      </c>
      <c r="R10" s="148" t="s">
        <v>207</v>
      </c>
      <c r="S10" s="148" t="s">
        <v>208</v>
      </c>
      <c r="T10" s="148" t="s">
        <v>600</v>
      </c>
      <c r="U10" s="146" t="s">
        <v>203</v>
      </c>
    </row>
    <row r="11" spans="1:21" ht="51">
      <c r="A11" s="2" t="s">
        <v>614</v>
      </c>
      <c r="B11" s="2" t="s">
        <v>606</v>
      </c>
      <c r="C11" s="2" t="s">
        <v>88</v>
      </c>
      <c r="D11" s="2" t="s">
        <v>170</v>
      </c>
      <c r="E11" s="2">
        <v>10</v>
      </c>
      <c r="F11" s="2">
        <v>5</v>
      </c>
      <c r="G11" s="2">
        <v>0</v>
      </c>
      <c r="H11" s="2">
        <f t="shared" si="0"/>
        <v>15</v>
      </c>
      <c r="I11" s="3">
        <f t="shared" si="1"/>
        <v>0.66666666666666663</v>
      </c>
      <c r="J11" s="2">
        <f>'Live Leaderboard'!D66</f>
        <v>0</v>
      </c>
      <c r="K11" s="2">
        <f>'Live Leaderboard'!E66</f>
        <v>0</v>
      </c>
      <c r="L11" s="2">
        <f>'Live Leaderboard'!F66</f>
        <v>0</v>
      </c>
      <c r="M11" s="146" t="s">
        <v>608</v>
      </c>
      <c r="N11" s="146" t="s">
        <v>209</v>
      </c>
      <c r="O11" s="147">
        <v>24</v>
      </c>
      <c r="P11" s="148" t="s">
        <v>173</v>
      </c>
      <c r="Q11" s="148" t="s">
        <v>610</v>
      </c>
      <c r="R11" s="148" t="s">
        <v>611</v>
      </c>
      <c r="S11" s="148" t="s">
        <v>612</v>
      </c>
      <c r="T11" s="148" t="s">
        <v>609</v>
      </c>
      <c r="U11" s="146" t="s">
        <v>615</v>
      </c>
    </row>
    <row r="12" spans="1:21" ht="76.5">
      <c r="A12" s="2" t="s">
        <v>210</v>
      </c>
      <c r="B12" s="2" t="s">
        <v>43</v>
      </c>
      <c r="C12" s="2" t="s">
        <v>88</v>
      </c>
      <c r="D12" s="2" t="s">
        <v>170</v>
      </c>
      <c r="E12" s="2">
        <v>8</v>
      </c>
      <c r="F12" s="2">
        <v>5</v>
      </c>
      <c r="G12" s="2">
        <v>2</v>
      </c>
      <c r="H12" s="2">
        <f t="shared" si="0"/>
        <v>15</v>
      </c>
      <c r="I12" s="3">
        <f t="shared" si="1"/>
        <v>0.6</v>
      </c>
      <c r="J12" s="2">
        <f>'Live Leaderboard'!D67</f>
        <v>0</v>
      </c>
      <c r="K12" s="2">
        <f>'Live Leaderboard'!E67</f>
        <v>0</v>
      </c>
      <c r="L12" s="2">
        <f>'Live Leaderboard'!F67</f>
        <v>0</v>
      </c>
      <c r="M12" s="146" t="s">
        <v>211</v>
      </c>
      <c r="N12" s="146" t="s">
        <v>212</v>
      </c>
      <c r="O12" s="147">
        <v>5</v>
      </c>
      <c r="P12" s="148" t="s">
        <v>213</v>
      </c>
      <c r="Q12" s="148" t="s">
        <v>214</v>
      </c>
      <c r="R12" s="148" t="s">
        <v>215</v>
      </c>
      <c r="S12" s="148" t="s">
        <v>613</v>
      </c>
      <c r="T12" s="148" t="s">
        <v>601</v>
      </c>
      <c r="U12" s="146" t="s">
        <v>210</v>
      </c>
    </row>
    <row r="15" spans="1:21">
      <c r="A15" s="205" t="s">
        <v>216</v>
      </c>
      <c r="B15" s="205"/>
      <c r="C15" s="205"/>
      <c r="D15" s="205"/>
      <c r="E15" s="205"/>
      <c r="F15" s="205"/>
      <c r="G15" s="205"/>
      <c r="H15" s="205"/>
      <c r="I15" s="205"/>
      <c r="J15" s="205"/>
      <c r="K15" s="205"/>
      <c r="L15" s="205"/>
    </row>
  </sheetData>
  <mergeCells count="2">
    <mergeCell ref="A1:L2"/>
    <mergeCell ref="A15:L15"/>
  </mergeCells>
  <conditionalFormatting sqref="C5:C12">
    <cfRule type="expression" dxfId="2" priority="1">
      <formula>C5="Navy"</formula>
    </cfRule>
    <cfRule type="expression" dxfId="1" priority="2">
      <formula>C5="Red"</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35"/>
  <sheetViews>
    <sheetView tabSelected="1" topLeftCell="C1" zoomScale="80" zoomScaleNormal="80" workbookViewId="0">
      <selection activeCell="O24" sqref="O24"/>
    </sheetView>
  </sheetViews>
  <sheetFormatPr defaultRowHeight="12.75"/>
  <cols>
    <col min="1" max="1" width="18" customWidth="1"/>
    <col min="2" max="2" width="20" customWidth="1"/>
    <col min="3" max="3" width="14" customWidth="1"/>
    <col min="4" max="4" width="12" customWidth="1"/>
    <col min="5" max="5" width="22" customWidth="1"/>
    <col min="6" max="6" width="16" customWidth="1"/>
    <col min="7" max="8" width="14" customWidth="1"/>
    <col min="9" max="13" width="18" customWidth="1"/>
    <col min="14" max="14" width="16" customWidth="1"/>
    <col min="15" max="15" width="13" customWidth="1"/>
    <col min="16" max="19" width="30" customWidth="1"/>
    <col min="20" max="20" width="12" customWidth="1"/>
    <col min="21" max="23" width="13" customWidth="1"/>
  </cols>
  <sheetData>
    <row r="1" spans="1:23" ht="25.5" customHeight="1">
      <c r="A1" s="181" t="s">
        <v>217</v>
      </c>
      <c r="B1" s="181" t="s">
        <v>218</v>
      </c>
      <c r="C1" s="181" t="s">
        <v>219</v>
      </c>
      <c r="D1" s="181" t="s">
        <v>220</v>
      </c>
      <c r="E1" s="181" t="s">
        <v>221</v>
      </c>
      <c r="F1" s="181" t="s">
        <v>222</v>
      </c>
      <c r="G1" s="181" t="s">
        <v>223</v>
      </c>
      <c r="H1" s="181" t="s">
        <v>1082</v>
      </c>
      <c r="I1" s="181" t="s">
        <v>224</v>
      </c>
      <c r="J1" s="181" t="s">
        <v>225</v>
      </c>
      <c r="K1" s="181" t="s">
        <v>226</v>
      </c>
      <c r="L1" s="181" t="s">
        <v>227</v>
      </c>
      <c r="M1" s="181" t="s">
        <v>1072</v>
      </c>
      <c r="N1" s="181" t="s">
        <v>228</v>
      </c>
      <c r="O1" s="181" t="s">
        <v>229</v>
      </c>
      <c r="P1" s="181" t="s">
        <v>230</v>
      </c>
      <c r="Q1" s="181" t="s">
        <v>1088</v>
      </c>
      <c r="R1" s="181" t="s">
        <v>1089</v>
      </c>
      <c r="S1" s="181" t="s">
        <v>1090</v>
      </c>
      <c r="T1" s="181" t="s">
        <v>231</v>
      </c>
      <c r="U1" s="154" t="s">
        <v>232</v>
      </c>
      <c r="V1" s="154" t="s">
        <v>233</v>
      </c>
      <c r="W1" s="154" t="s">
        <v>234</v>
      </c>
    </row>
    <row r="2" spans="1:23" ht="13.5">
      <c r="A2" s="182" t="str">
        <f>"scramble-1"</f>
        <v>scramble-1</v>
      </c>
      <c r="B2" s="182" t="str">
        <f>"cyder-cup-2026"</f>
        <v>cyder-cup-2026</v>
      </c>
      <c r="C2" s="182" t="str">
        <f t="shared" ref="C2:C3" si="0">"session-1"</f>
        <v>session-1</v>
      </c>
      <c r="D2" s="182">
        <f>1</f>
        <v>1</v>
      </c>
      <c r="E2" s="182" t="s">
        <v>1091</v>
      </c>
      <c r="F2" s="182" t="str">
        <f>"scramble"</f>
        <v>scramble</v>
      </c>
      <c r="G2" s="182" t="str">
        <f>'Live Leaderboard'!F15</f>
        <v>Not Started</v>
      </c>
      <c r="H2" s="183" t="s">
        <v>1070</v>
      </c>
      <c r="I2" s="182" t="str">
        <f t="shared" ref="I2" si="1">"all-navy"</f>
        <v>all-navy</v>
      </c>
      <c r="J2" s="182"/>
      <c r="K2" s="182"/>
      <c r="L2" s="182"/>
      <c r="M2" s="184">
        <v>46254</v>
      </c>
      <c r="N2" s="183" t="s">
        <v>1073</v>
      </c>
      <c r="O2" s="182" t="str">
        <f>""</f>
        <v/>
      </c>
      <c r="P2" s="182">
        <f>'Live Leaderboard'!E15</f>
        <v>0</v>
      </c>
      <c r="Q2" s="182"/>
      <c r="R2" s="182"/>
      <c r="S2" s="182"/>
      <c r="T2" s="182" t="str">
        <f>IF(OR('Live Leaderboard'!D15="",'Live Leaderboard'!D15=0),"",IF(LOWER('Live Leaderboard'!D15)="navy","navy",IF(LOWER('Live Leaderboard'!D15)="red","red","halved")))</f>
        <v/>
      </c>
      <c r="U2" s="156">
        <f>'Live Leaderboard'!H15+'Live Leaderboard'!H16+'Live Leaderboard'!H17</f>
        <v>0</v>
      </c>
      <c r="V2" s="156">
        <f>'Live Leaderboard'!G15+'Live Leaderboard'!G16+'Live Leaderboard'!G17</f>
        <v>0</v>
      </c>
      <c r="W2" s="156">
        <f>'Live Leaderboard'!C15+'Live Leaderboard'!C16+'Live Leaderboard'!C17</f>
        <v>3</v>
      </c>
    </row>
    <row r="3" spans="1:23" ht="13.5">
      <c r="A3" s="182" t="str">
        <f>"scramble-2"</f>
        <v>scramble-2</v>
      </c>
      <c r="B3" s="182" t="str">
        <f>"cyder-cup-2026"</f>
        <v>cyder-cup-2026</v>
      </c>
      <c r="C3" s="182" t="str">
        <f t="shared" si="0"/>
        <v>session-1</v>
      </c>
      <c r="D3" s="182">
        <f>D2+1</f>
        <v>2</v>
      </c>
      <c r="E3" s="182" t="s">
        <v>1092</v>
      </c>
      <c r="F3" s="182" t="str">
        <f>"scramble"</f>
        <v>scramble</v>
      </c>
      <c r="G3" s="182" t="str">
        <f>'Live Leaderboard'!F16</f>
        <v>Not Started</v>
      </c>
      <c r="H3" s="183" t="s">
        <v>1071</v>
      </c>
      <c r="J3" s="182"/>
      <c r="K3" s="182" t="str">
        <f t="shared" ref="K3" si="2">"all-red"</f>
        <v>all-red</v>
      </c>
      <c r="L3" s="182"/>
      <c r="M3" s="184">
        <v>46254</v>
      </c>
      <c r="N3" s="183" t="s">
        <v>1074</v>
      </c>
      <c r="O3" s="182"/>
      <c r="P3" s="182">
        <f>'Live Leaderboard'!E16</f>
        <v>0</v>
      </c>
      <c r="Q3" s="182"/>
      <c r="R3" s="182"/>
      <c r="S3" s="182"/>
      <c r="T3" s="182" t="str">
        <f>IF(OR('Live Leaderboard'!D16="",'Live Leaderboard'!D16=0),"",IF(LOWER('Live Leaderboard'!D16)="navy","navy",IF(LOWER('Live Leaderboard'!D16)="red","red","halved")))</f>
        <v/>
      </c>
      <c r="U3" s="156">
        <f>'Live Leaderboard'!H16+'Live Leaderboard'!H17+'Live Leaderboard'!H18</f>
        <v>0</v>
      </c>
      <c r="V3" s="156">
        <f>'Live Leaderboard'!G16+'Live Leaderboard'!G17+'Live Leaderboard'!G18</f>
        <v>0</v>
      </c>
      <c r="W3" s="156">
        <f>'Live Leaderboard'!C16+'Live Leaderboard'!C17+'Live Leaderboard'!C18</f>
        <v>3</v>
      </c>
    </row>
    <row r="4" spans="1:23" ht="13.5">
      <c r="A4" s="182" t="str">
        <f>"fourball-1"</f>
        <v>fourball-1</v>
      </c>
      <c r="B4" s="182" t="str">
        <f t="shared" ref="B4:B9" si="3">"cyder-cup-2026"</f>
        <v>cyder-cup-2026</v>
      </c>
      <c r="C4" s="182" t="str">
        <f>"session-4"</f>
        <v>session-4</v>
      </c>
      <c r="D4" s="182">
        <f>1</f>
        <v>1</v>
      </c>
      <c r="E4" s="182" t="str">
        <f>"Fourball #1"</f>
        <v>Fourball #1</v>
      </c>
      <c r="F4" s="182" t="str">
        <f>"fourball"</f>
        <v>fourball</v>
      </c>
      <c r="G4" s="182" t="str">
        <f>'Live Leaderboard'!J27</f>
        <v>Not Started</v>
      </c>
      <c r="H4" s="183" t="s">
        <v>1070</v>
      </c>
      <c r="I4" s="182" t="str">
        <f>IF('Live Leaderboard'!F27="","",IFERROR(INDEX('Player Stats'!$A$5:$A$12,MATCH('Live Leaderboard'!F27,'Player Stats'!$B$5:$B$12,0)),""))</f>
        <v>navy-jj</v>
      </c>
      <c r="J4" s="182" t="str">
        <f>IF('Live Leaderboard'!G27="","",IFERROR(INDEX('Player Stats'!$A$5:$A$12,MATCH('Live Leaderboard'!G27,'Player Stats'!$B$5:$B$12,0)),""))</f>
        <v>navy-eric</v>
      </c>
      <c r="K4" s="182" t="str">
        <f>IF('Live Leaderboard'!D27="","",IFERROR(INDEX('Player Stats'!$A$5:$A$12,MATCH('Live Leaderboard'!D27,'Player Stats'!$B$5:$B$12,0)),""))</f>
        <v>red-kevin</v>
      </c>
      <c r="L4" s="182" t="str">
        <f>IF('Live Leaderboard'!E27="","",IFERROR(INDEX('Player Stats'!$A$5:$A$12,MATCH('Live Leaderboard'!E27,'Player Stats'!$B$5:$B$12,0)),""))</f>
        <v>red-sam</v>
      </c>
      <c r="M4" s="184">
        <v>46255</v>
      </c>
      <c r="N4" s="183" t="s">
        <v>1077</v>
      </c>
      <c r="O4" s="182" t="str">
        <f>""</f>
        <v/>
      </c>
      <c r="P4" s="182">
        <f>'Live Leaderboard'!I27</f>
        <v>0</v>
      </c>
      <c r="Q4" s="182"/>
      <c r="R4" s="182"/>
      <c r="S4" s="182"/>
      <c r="T4" s="182" t="str">
        <f>IF(OR('Live Leaderboard'!H27="",'Live Leaderboard'!H27=0),"",IF(LOWER('Live Leaderboard'!H27)="navy","navy",IF(LOWER('Live Leaderboard'!H27)="red","red","halved")))</f>
        <v/>
      </c>
      <c r="U4" s="156">
        <f>'Live Leaderboard'!L28+'Live Leaderboard'!L29+'Live Leaderboard'!L30</f>
        <v>0</v>
      </c>
      <c r="V4" s="156">
        <f>'Live Leaderboard'!K28+'Live Leaderboard'!K29+'Live Leaderboard'!K30</f>
        <v>0</v>
      </c>
      <c r="W4" s="156">
        <f>'Live Leaderboard'!C28+'Live Leaderboard'!C29+'Live Leaderboard'!C30</f>
        <v>3</v>
      </c>
    </row>
    <row r="5" spans="1:23" ht="13.5">
      <c r="A5" s="182" t="str">
        <f>"fourball-2"</f>
        <v>fourball-2</v>
      </c>
      <c r="B5" s="182" t="str">
        <f t="shared" si="3"/>
        <v>cyder-cup-2026</v>
      </c>
      <c r="C5" s="182" t="str">
        <f>"session-4"</f>
        <v>session-4</v>
      </c>
      <c r="D5" s="182">
        <f>D4+1</f>
        <v>2</v>
      </c>
      <c r="E5" s="182" t="str">
        <f>"Fourball #2"</f>
        <v>Fourball #2</v>
      </c>
      <c r="F5" s="182" t="str">
        <f>"fourball"</f>
        <v>fourball</v>
      </c>
      <c r="G5" s="182" t="str">
        <f>'Live Leaderboard'!J32</f>
        <v>Not Started</v>
      </c>
      <c r="H5" s="183" t="s">
        <v>1071</v>
      </c>
      <c r="I5" s="182" t="str">
        <f>IF('Live Leaderboard'!F32="","",IFERROR(INDEX('Player Stats'!$A$5:$A$12,MATCH('Live Leaderboard'!F32,'Player Stats'!$B$5:$B$12,0)),""))</f>
        <v>navy-steven</v>
      </c>
      <c r="J5" s="182" t="str">
        <f>IF('Live Leaderboard'!G32="","",IFERROR(INDEX('Player Stats'!$A$5:$A$12,MATCH('Live Leaderboard'!G32,'Player Stats'!$B$5:$B$12,0)),""))</f>
        <v>navy-george</v>
      </c>
      <c r="K5" s="182" t="str">
        <f>IF('Live Leaderboard'!D32="","",IFERROR(INDEX('Player Stats'!$A$5:$A$12,MATCH('Live Leaderboard'!D32,'Player Stats'!$B$5:$B$12,0)),""))</f>
        <v>red-sean</v>
      </c>
      <c r="L5" s="182" t="str">
        <f>IF('Live Leaderboard'!E32="","",IFERROR(INDEX('Player Stats'!$A$5:$A$12,MATCH('Live Leaderboard'!E32,'Player Stats'!$B$5:$B$12,0)),""))</f>
        <v>red-dylan</v>
      </c>
      <c r="M5" s="184">
        <v>46255</v>
      </c>
      <c r="N5" s="183" t="s">
        <v>1078</v>
      </c>
      <c r="O5" s="182" t="str">
        <f>""</f>
        <v/>
      </c>
      <c r="P5" s="182">
        <f>'Live Leaderboard'!I32</f>
        <v>0</v>
      </c>
      <c r="Q5" s="182"/>
      <c r="R5" s="182"/>
      <c r="S5" s="182"/>
      <c r="T5" s="182" t="str">
        <f>IF(OR('Live Leaderboard'!H32="",'Live Leaderboard'!H32=0),"",IF(LOWER('Live Leaderboard'!H32)="navy","navy",IF(LOWER('Live Leaderboard'!H32)="red","red","halved")))</f>
        <v/>
      </c>
      <c r="U5" s="156">
        <f>'Live Leaderboard'!L33+'Live Leaderboard'!L34+'Live Leaderboard'!L35</f>
        <v>0</v>
      </c>
      <c r="V5" s="156">
        <f>'Live Leaderboard'!K33+'Live Leaderboard'!K34+'Live Leaderboard'!K35</f>
        <v>0</v>
      </c>
      <c r="W5" s="156">
        <f>'Live Leaderboard'!C33+'Live Leaderboard'!C34+'Live Leaderboard'!C35</f>
        <v>3</v>
      </c>
    </row>
    <row r="6" spans="1:23" ht="13.5">
      <c r="A6" s="182" t="str">
        <f>"singles-1"</f>
        <v>singles-1</v>
      </c>
      <c r="B6" s="182" t="str">
        <f t="shared" si="3"/>
        <v>cyder-cup-2026</v>
      </c>
      <c r="C6" s="182" t="str">
        <f>"session-8"</f>
        <v>session-8</v>
      </c>
      <c r="D6" s="182">
        <v>1</v>
      </c>
      <c r="E6" s="182" t="str">
        <f>"Singles #1"</f>
        <v>Singles #1</v>
      </c>
      <c r="F6" s="182" t="str">
        <f>"singles"</f>
        <v>singles</v>
      </c>
      <c r="G6" s="182" t="str">
        <f>'Live Leaderboard'!J37</f>
        <v>Not Started</v>
      </c>
      <c r="H6" s="183" t="s">
        <v>1070</v>
      </c>
      <c r="I6" s="182" t="str">
        <f>IF('Live Leaderboard'!F37="","",IFERROR(INDEX('Player Stats'!$A$5:$A$12,MATCH('Live Leaderboard'!F37,'Player Stats'!$B$5:$B$12,0)),""))</f>
        <v>navy-jj</v>
      </c>
      <c r="J6" s="182" t="str">
        <f>""</f>
        <v/>
      </c>
      <c r="K6" s="182" t="str">
        <f>IF('Live Leaderboard'!D37="","",IFERROR(INDEX('Player Stats'!$A$5:$A$12,MATCH('Live Leaderboard'!D37,'Player Stats'!$B$5:$B$12,0)),""))</f>
        <v>red-sam</v>
      </c>
      <c r="L6" s="182" t="str">
        <f>""</f>
        <v/>
      </c>
      <c r="M6" s="184">
        <v>46256</v>
      </c>
      <c r="N6" s="183" t="s">
        <v>1077</v>
      </c>
      <c r="O6" s="182" t="str">
        <f>""</f>
        <v/>
      </c>
      <c r="P6" s="182">
        <f>'Live Leaderboard'!I37</f>
        <v>0</v>
      </c>
      <c r="Q6" s="182"/>
      <c r="R6" s="182"/>
      <c r="S6" s="182"/>
      <c r="T6" s="182" t="str">
        <f>IF(OR('Live Leaderboard'!H37="",'Live Leaderboard'!H37=0),"",IF(LOWER('Live Leaderboard'!H37)="navy","navy",IF(LOWER('Live Leaderboard'!H37)="red","red","halved")))</f>
        <v/>
      </c>
      <c r="U6" s="156">
        <f>'Live Leaderboard'!L38+'Live Leaderboard'!L39+'Live Leaderboard'!L40</f>
        <v>0</v>
      </c>
      <c r="V6" s="156">
        <f>'Live Leaderboard'!K38+'Live Leaderboard'!K39+'Live Leaderboard'!K40</f>
        <v>0</v>
      </c>
      <c r="W6" s="156">
        <f>'Live Leaderboard'!C38+'Live Leaderboard'!C39+'Live Leaderboard'!C40</f>
        <v>4</v>
      </c>
    </row>
    <row r="7" spans="1:23" ht="13.5">
      <c r="A7" s="182" t="str">
        <f>"singles-2"</f>
        <v>singles-2</v>
      </c>
      <c r="B7" s="182" t="str">
        <f t="shared" si="3"/>
        <v>cyder-cup-2026</v>
      </c>
      <c r="C7" s="182" t="str">
        <f t="shared" ref="C7:C9" si="4">"session-8"</f>
        <v>session-8</v>
      </c>
      <c r="D7" s="182">
        <v>2</v>
      </c>
      <c r="E7" s="182" t="str">
        <f>"Singles #2"</f>
        <v>Singles #2</v>
      </c>
      <c r="F7" s="182" t="str">
        <f>"singles"</f>
        <v>singles</v>
      </c>
      <c r="G7" s="182" t="str">
        <f>'Live Leaderboard'!J42</f>
        <v>Not Started</v>
      </c>
      <c r="H7" s="183" t="s">
        <v>1070</v>
      </c>
      <c r="I7" s="182" t="str">
        <f>IF('Live Leaderboard'!F42="","",IFERROR(INDEX('Player Stats'!$A$5:$A$12,MATCH('Live Leaderboard'!F42,'Player Stats'!$B$5:$B$12,0)),""))</f>
        <v>navy-steven</v>
      </c>
      <c r="J7" s="182" t="str">
        <f>""</f>
        <v/>
      </c>
      <c r="K7" s="182" t="str">
        <f>IF('Live Leaderboard'!D42="","",IFERROR(INDEX('Player Stats'!$A$5:$A$12,MATCH('Live Leaderboard'!D42,'Player Stats'!$B$5:$B$12,0)),""))</f>
        <v>red-kevin</v>
      </c>
      <c r="L7" s="182" t="str">
        <f>""</f>
        <v/>
      </c>
      <c r="M7" s="184">
        <v>46256</v>
      </c>
      <c r="N7" s="183" t="s">
        <v>1078</v>
      </c>
      <c r="O7" s="182" t="str">
        <f>""</f>
        <v/>
      </c>
      <c r="P7" s="182">
        <f>'Live Leaderboard'!I42</f>
        <v>0</v>
      </c>
      <c r="Q7" s="182"/>
      <c r="R7" s="182"/>
      <c r="S7" s="182"/>
      <c r="T7" s="182" t="str">
        <f>IF(OR('Live Leaderboard'!H42="",'Live Leaderboard'!H42=0),"",IF(LOWER('Live Leaderboard'!H42)="navy","navy",IF(LOWER('Live Leaderboard'!H42)="red","red","halved")))</f>
        <v/>
      </c>
      <c r="U7" s="156">
        <f>'Live Leaderboard'!L43+'Live Leaderboard'!L44+'Live Leaderboard'!L45</f>
        <v>0</v>
      </c>
      <c r="V7" s="156">
        <f>'Live Leaderboard'!K43+'Live Leaderboard'!K44+'Live Leaderboard'!K45</f>
        <v>0</v>
      </c>
      <c r="W7" s="156">
        <f>'Live Leaderboard'!C43+'Live Leaderboard'!C44+'Live Leaderboard'!C45</f>
        <v>4</v>
      </c>
    </row>
    <row r="8" spans="1:23" ht="13.5">
      <c r="A8" s="182" t="str">
        <f>"singles-3"</f>
        <v>singles-3</v>
      </c>
      <c r="B8" s="182" t="str">
        <f t="shared" si="3"/>
        <v>cyder-cup-2026</v>
      </c>
      <c r="C8" s="182" t="str">
        <f t="shared" si="4"/>
        <v>session-8</v>
      </c>
      <c r="D8" s="182">
        <v>3</v>
      </c>
      <c r="E8" s="182" t="str">
        <f>"Singles #3"</f>
        <v>Singles #3</v>
      </c>
      <c r="F8" s="182" t="str">
        <f>"singles"</f>
        <v>singles</v>
      </c>
      <c r="G8" s="182" t="str">
        <f>'Live Leaderboard'!J47</f>
        <v>Not Started</v>
      </c>
      <c r="H8" s="183" t="s">
        <v>1071</v>
      </c>
      <c r="I8" s="182" t="str">
        <f>IF('Live Leaderboard'!F47="","",IFERROR(INDEX('Player Stats'!$A$5:$A$12,MATCH('Live Leaderboard'!F47,'Player Stats'!$B$5:$B$12,0)),""))</f>
        <v>navy-george</v>
      </c>
      <c r="J8" s="182" t="str">
        <f>""</f>
        <v/>
      </c>
      <c r="K8" s="182" t="str">
        <f>IF('Live Leaderboard'!D47="","",IFERROR(INDEX('Player Stats'!$A$5:$A$12,MATCH('Live Leaderboard'!D47,'Player Stats'!$B$5:$B$12,0)),""))</f>
        <v>red-sean</v>
      </c>
      <c r="L8" s="182" t="str">
        <f>""</f>
        <v/>
      </c>
      <c r="M8" s="184">
        <v>46256</v>
      </c>
      <c r="N8" s="183" t="s">
        <v>1080</v>
      </c>
      <c r="O8" s="182" t="str">
        <f>""</f>
        <v/>
      </c>
      <c r="P8" s="182">
        <f>'Live Leaderboard'!I47</f>
        <v>0</v>
      </c>
      <c r="Q8" s="182"/>
      <c r="R8" s="182"/>
      <c r="S8" s="182"/>
      <c r="T8" s="182" t="str">
        <f>IF(OR('Live Leaderboard'!H47="",'Live Leaderboard'!H47=0),"",IF(LOWER('Live Leaderboard'!H47)="navy","navy",IF(LOWER('Live Leaderboard'!H47)="red","red","halved")))</f>
        <v/>
      </c>
      <c r="U8" s="156">
        <f>'Live Leaderboard'!L48+'Live Leaderboard'!L49+'Live Leaderboard'!L50</f>
        <v>0</v>
      </c>
      <c r="V8" s="156">
        <f>'Live Leaderboard'!K48+'Live Leaderboard'!K49+'Live Leaderboard'!K50</f>
        <v>0</v>
      </c>
      <c r="W8" s="156">
        <f>'Live Leaderboard'!C48+'Live Leaderboard'!C49+'Live Leaderboard'!C50</f>
        <v>4</v>
      </c>
    </row>
    <row r="9" spans="1:23" ht="13.5">
      <c r="A9" s="182" t="str">
        <f>"singles-4"</f>
        <v>singles-4</v>
      </c>
      <c r="B9" s="182" t="str">
        <f t="shared" si="3"/>
        <v>cyder-cup-2026</v>
      </c>
      <c r="C9" s="182" t="str">
        <f t="shared" si="4"/>
        <v>session-8</v>
      </c>
      <c r="D9" s="182">
        <v>4</v>
      </c>
      <c r="E9" s="182" t="str">
        <f>"Singles #4"</f>
        <v>Singles #4</v>
      </c>
      <c r="F9" s="182" t="str">
        <f>"singles"</f>
        <v>singles</v>
      </c>
      <c r="G9" s="182" t="str">
        <f>'Live Leaderboard'!J52</f>
        <v>Not Started</v>
      </c>
      <c r="H9" s="183" t="s">
        <v>1071</v>
      </c>
      <c r="I9" s="182" t="str">
        <f>IF('Live Leaderboard'!F52="","",IFERROR(INDEX('Player Stats'!$A$5:$A$12,MATCH('Live Leaderboard'!F52,'Player Stats'!$B$5:$B$12,0)),""))</f>
        <v>navy-eric</v>
      </c>
      <c r="J9" s="182" t="str">
        <f>""</f>
        <v/>
      </c>
      <c r="K9" s="182" t="str">
        <f>IF('Live Leaderboard'!D52="","",IFERROR(INDEX('Player Stats'!$A$5:$A$12,MATCH('Live Leaderboard'!D52,'Player Stats'!$B$5:$B$12,0)),""))</f>
        <v>red-dylan</v>
      </c>
      <c r="L9" s="182" t="str">
        <f>""</f>
        <v/>
      </c>
      <c r="M9" s="184">
        <v>46256</v>
      </c>
      <c r="N9" s="183" t="s">
        <v>1081</v>
      </c>
      <c r="O9" s="182" t="str">
        <f>""</f>
        <v/>
      </c>
      <c r="P9" s="182">
        <f>'Live Leaderboard'!I52</f>
        <v>0</v>
      </c>
      <c r="Q9" s="182"/>
      <c r="R9" s="182"/>
      <c r="S9" s="182"/>
      <c r="T9" s="182" t="str">
        <f>IF(OR('Live Leaderboard'!H52="",'Live Leaderboard'!H52=0),"",IF(LOWER('Live Leaderboard'!H52)="navy","navy",IF(LOWER('Live Leaderboard'!H52)="red","red","halved")))</f>
        <v/>
      </c>
      <c r="U9" s="156">
        <f>'Live Leaderboard'!L53+'Live Leaderboard'!L54+'Live Leaderboard'!L55</f>
        <v>0</v>
      </c>
      <c r="V9" s="156">
        <f>'Live Leaderboard'!K53+'Live Leaderboard'!K54+'Live Leaderboard'!K55</f>
        <v>0</v>
      </c>
      <c r="W9" s="156">
        <f>'Live Leaderboard'!C53+'Live Leaderboard'!C54+'Live Leaderboard'!C55</f>
        <v>4</v>
      </c>
    </row>
    <row r="10" spans="1:23" ht="13.5">
      <c r="A10" s="182" t="str">
        <f>"Evening Events-1"</f>
        <v>Evening Events-1</v>
      </c>
      <c r="B10" s="182" t="str">
        <f>"cyder-cup-2026"</f>
        <v>cyder-cup-2026</v>
      </c>
      <c r="C10" s="182" t="str">
        <f>"session-2"</f>
        <v>session-2</v>
      </c>
      <c r="D10" s="182">
        <v>1</v>
      </c>
      <c r="E10" s="183" t="s">
        <v>1087</v>
      </c>
      <c r="F10" s="182" t="str">
        <f>"drinking-game"</f>
        <v>drinking-game</v>
      </c>
      <c r="G10" s="182" t="str">
        <f>'Live Leaderboard'!F18</f>
        <v>Not Started</v>
      </c>
      <c r="H10" s="182"/>
      <c r="I10" s="182" t="str">
        <f t="shared" ref="I10:I14" si="5">"all-navy"</f>
        <v>all-navy</v>
      </c>
      <c r="J10" s="182"/>
      <c r="K10" s="182" t="str">
        <f t="shared" ref="K10:K14" si="6">"all-red"</f>
        <v>all-red</v>
      </c>
      <c r="L10" s="182"/>
      <c r="M10" s="184">
        <v>46254</v>
      </c>
      <c r="N10" s="183" t="s">
        <v>1075</v>
      </c>
      <c r="O10" s="182" t="str">
        <f>""</f>
        <v/>
      </c>
      <c r="P10" s="182">
        <f>'Live Leaderboard'!E18</f>
        <v>0</v>
      </c>
      <c r="Q10" s="182"/>
      <c r="R10" s="182"/>
      <c r="S10" s="182"/>
      <c r="T10" s="182" t="str">
        <f>IF(OR('Live Leaderboard'!H53="",'Live Leaderboard'!H53=0),"",IF(LOWER('Live Leaderboard'!H53)="navy","navy",IF(LOWER('Live Leaderboard'!H53)="red","red","halved")))</f>
        <v/>
      </c>
      <c r="U10" s="156">
        <f>'Live Leaderboard'!H18</f>
        <v>0</v>
      </c>
      <c r="V10" s="156">
        <f>'Live Leaderboard'!G18</f>
        <v>0</v>
      </c>
      <c r="W10" s="156">
        <f>'Live Leaderboard'!C18</f>
        <v>1</v>
      </c>
    </row>
    <row r="11" spans="1:23" ht="13.5">
      <c r="A11" s="182" t="str">
        <f>"Evening Events-2"</f>
        <v>Evening Events-2</v>
      </c>
      <c r="B11" s="182" t="str">
        <f t="shared" ref="B11:B14" si="7">"cyder-cup-2026"</f>
        <v>cyder-cup-2026</v>
      </c>
      <c r="C11" s="182" t="str">
        <f t="shared" ref="C11" si="8">"session-3"</f>
        <v>session-3</v>
      </c>
      <c r="D11" s="6">
        <v>2</v>
      </c>
      <c r="E11" s="185" t="s">
        <v>1083</v>
      </c>
      <c r="F11" s="182" t="str">
        <f t="shared" ref="F11:F14" si="9">"drinking-game"</f>
        <v>drinking-game</v>
      </c>
      <c r="G11" s="182" t="str">
        <f>'Live Leaderboard'!F19</f>
        <v>Not Started</v>
      </c>
      <c r="H11" s="6"/>
      <c r="I11" s="182" t="str">
        <f t="shared" si="5"/>
        <v>all-navy</v>
      </c>
      <c r="J11" s="6"/>
      <c r="K11" s="182" t="str">
        <f t="shared" si="6"/>
        <v>all-red</v>
      </c>
      <c r="L11" s="6"/>
      <c r="M11" s="184">
        <v>46254</v>
      </c>
      <c r="N11" s="185" t="s">
        <v>1076</v>
      </c>
      <c r="O11" s="6"/>
      <c r="P11" s="182">
        <f>'Live Leaderboard'!E19</f>
        <v>0</v>
      </c>
      <c r="Q11" s="182"/>
      <c r="R11" s="182"/>
      <c r="S11" s="182"/>
      <c r="T11" s="7"/>
      <c r="U11" s="156">
        <f>'Live Leaderboard'!H19</f>
        <v>0</v>
      </c>
      <c r="V11" s="156">
        <f>'Live Leaderboard'!G19</f>
        <v>0</v>
      </c>
      <c r="W11" s="156">
        <f>'Live Leaderboard'!C19</f>
        <v>1</v>
      </c>
    </row>
    <row r="12" spans="1:23" ht="13.5">
      <c r="A12" s="182" t="str">
        <f>"Evening Events-3"</f>
        <v>Evening Events-3</v>
      </c>
      <c r="B12" s="182" t="str">
        <f t="shared" si="7"/>
        <v>cyder-cup-2026</v>
      </c>
      <c r="C12" s="182" t="str">
        <f>"session-5"</f>
        <v>session-5</v>
      </c>
      <c r="D12" s="8">
        <v>3</v>
      </c>
      <c r="E12" s="186" t="s">
        <v>1084</v>
      </c>
      <c r="F12" s="182" t="str">
        <f t="shared" si="9"/>
        <v>drinking-game</v>
      </c>
      <c r="G12" s="182" t="str">
        <f>'Live Leaderboard'!F20</f>
        <v>Not Started</v>
      </c>
      <c r="H12" s="8"/>
      <c r="I12" s="182" t="str">
        <f t="shared" si="5"/>
        <v>all-navy</v>
      </c>
      <c r="J12" s="8"/>
      <c r="K12" s="182" t="str">
        <f t="shared" si="6"/>
        <v>all-red</v>
      </c>
      <c r="L12" s="8"/>
      <c r="M12" s="184">
        <v>46255</v>
      </c>
      <c r="N12" s="186" t="s">
        <v>1079</v>
      </c>
      <c r="O12" s="8"/>
      <c r="P12" s="182">
        <f>'Live Leaderboard'!E20</f>
        <v>0</v>
      </c>
      <c r="Q12" s="182"/>
      <c r="R12" s="182"/>
      <c r="S12" s="182"/>
      <c r="T12" s="9"/>
      <c r="U12" s="156">
        <f>'Live Leaderboard'!H20</f>
        <v>0</v>
      </c>
      <c r="V12" s="156">
        <f>'Live Leaderboard'!G20</f>
        <v>0</v>
      </c>
      <c r="W12" s="156">
        <f>'Live Leaderboard'!C20</f>
        <v>1</v>
      </c>
    </row>
    <row r="13" spans="1:23" ht="13.5">
      <c r="A13" s="182" t="str">
        <f>"Evening Events-4"</f>
        <v>Evening Events-4</v>
      </c>
      <c r="B13" s="182" t="str">
        <f t="shared" si="7"/>
        <v>cyder-cup-2026</v>
      </c>
      <c r="C13" s="182" t="str">
        <f>"session-6"</f>
        <v>session-6</v>
      </c>
      <c r="D13" s="6">
        <v>4</v>
      </c>
      <c r="E13" s="185" t="s">
        <v>1085</v>
      </c>
      <c r="F13" s="182" t="str">
        <f t="shared" si="9"/>
        <v>drinking-game</v>
      </c>
      <c r="G13" s="182" t="str">
        <f>'Live Leaderboard'!F21</f>
        <v>Not Started</v>
      </c>
      <c r="H13" s="6"/>
      <c r="I13" s="182" t="str">
        <f t="shared" si="5"/>
        <v>all-navy</v>
      </c>
      <c r="J13" s="6"/>
      <c r="K13" s="182" t="str">
        <f t="shared" si="6"/>
        <v>all-red</v>
      </c>
      <c r="L13" s="6"/>
      <c r="M13" s="184">
        <v>46255</v>
      </c>
      <c r="N13" s="185" t="s">
        <v>1075</v>
      </c>
      <c r="O13" s="6"/>
      <c r="P13" s="182">
        <f>'Live Leaderboard'!E21</f>
        <v>0</v>
      </c>
      <c r="Q13" s="182"/>
      <c r="R13" s="182"/>
      <c r="S13" s="182"/>
      <c r="T13" s="7"/>
      <c r="U13" s="156">
        <f>'Live Leaderboard'!H21</f>
        <v>0</v>
      </c>
      <c r="V13" s="156">
        <f>'Live Leaderboard'!G21</f>
        <v>0</v>
      </c>
      <c r="W13" s="156">
        <f>'Live Leaderboard'!C21</f>
        <v>1</v>
      </c>
    </row>
    <row r="14" spans="1:23" ht="13.5">
      <c r="A14" s="182" t="str">
        <f>"Evening Events-5"</f>
        <v>Evening Events-5</v>
      </c>
      <c r="B14" s="182" t="str">
        <f t="shared" si="7"/>
        <v>cyder-cup-2026</v>
      </c>
      <c r="C14" s="182" t="str">
        <f>"session-7"</f>
        <v>session-7</v>
      </c>
      <c r="D14" s="8">
        <v>5</v>
      </c>
      <c r="E14" s="186" t="s">
        <v>1086</v>
      </c>
      <c r="F14" s="182" t="str">
        <f t="shared" si="9"/>
        <v>drinking-game</v>
      </c>
      <c r="G14" s="182" t="str">
        <f>'Live Leaderboard'!F22</f>
        <v>Not Started</v>
      </c>
      <c r="H14" s="8"/>
      <c r="I14" s="182" t="str">
        <f t="shared" si="5"/>
        <v>all-navy</v>
      </c>
      <c r="J14" s="8"/>
      <c r="K14" s="182" t="str">
        <f t="shared" si="6"/>
        <v>all-red</v>
      </c>
      <c r="L14" s="8"/>
      <c r="M14" s="184">
        <v>46255</v>
      </c>
      <c r="N14" s="186" t="s">
        <v>1076</v>
      </c>
      <c r="O14" s="8"/>
      <c r="P14" s="182">
        <f>'Live Leaderboard'!E22</f>
        <v>0</v>
      </c>
      <c r="Q14" s="182"/>
      <c r="R14" s="182"/>
      <c r="S14" s="182"/>
      <c r="T14" s="9"/>
      <c r="U14" s="156">
        <f>'Live Leaderboard'!H22</f>
        <v>0</v>
      </c>
      <c r="V14" s="156">
        <f>'Live Leaderboard'!G22</f>
        <v>0</v>
      </c>
      <c r="W14" s="156">
        <f>'Live Leaderboard'!C22</f>
        <v>1</v>
      </c>
    </row>
    <row r="15" spans="1:23" ht="13.5">
      <c r="A15" s="6"/>
      <c r="B15" s="6"/>
      <c r="C15" s="6"/>
      <c r="D15" s="6"/>
      <c r="E15" s="6"/>
      <c r="F15" s="7"/>
      <c r="G15" s="6"/>
      <c r="H15" s="6"/>
      <c r="I15" s="6"/>
      <c r="J15" s="6"/>
      <c r="K15" s="6"/>
      <c r="L15" s="6"/>
      <c r="M15" s="6"/>
      <c r="N15" s="6"/>
      <c r="O15" s="6"/>
      <c r="P15" s="7"/>
      <c r="Q15" s="7"/>
      <c r="R15" s="7"/>
      <c r="S15" s="7"/>
      <c r="T15" s="7"/>
    </row>
    <row r="16" spans="1:23" ht="13.5">
      <c r="A16" s="8"/>
      <c r="B16" s="8"/>
      <c r="C16" s="8"/>
      <c r="D16" s="8"/>
      <c r="E16" s="8"/>
      <c r="F16" s="9"/>
      <c r="G16" s="8"/>
      <c r="H16" s="8"/>
      <c r="I16" s="8"/>
      <c r="J16" s="8"/>
      <c r="K16" s="8"/>
      <c r="L16" s="8"/>
      <c r="M16" s="8"/>
      <c r="N16" s="8"/>
      <c r="O16" s="8"/>
      <c r="P16" s="9"/>
      <c r="Q16" s="9"/>
      <c r="R16" s="9"/>
      <c r="S16" s="9"/>
      <c r="T16" s="9"/>
    </row>
    <row r="17" spans="1:20" ht="13.5">
      <c r="A17" s="6"/>
      <c r="B17" s="6"/>
      <c r="C17" s="6"/>
      <c r="D17" s="6"/>
      <c r="E17" s="6"/>
      <c r="F17" s="7"/>
      <c r="G17" s="6"/>
      <c r="H17" s="6"/>
      <c r="I17" s="6"/>
      <c r="J17" s="6"/>
      <c r="K17" s="6"/>
      <c r="L17" s="6"/>
      <c r="M17" s="6"/>
      <c r="N17" s="6"/>
      <c r="O17" s="6"/>
      <c r="P17" s="7"/>
      <c r="Q17" s="7"/>
      <c r="R17" s="7"/>
      <c r="S17" s="7"/>
      <c r="T17" s="7"/>
    </row>
    <row r="18" spans="1:20" ht="13.5">
      <c r="A18" s="8"/>
      <c r="B18" s="8"/>
      <c r="C18" s="8"/>
      <c r="D18" s="8"/>
      <c r="E18" s="8"/>
      <c r="F18" s="9"/>
      <c r="G18" s="8"/>
      <c r="H18" s="8"/>
      <c r="I18" s="8"/>
      <c r="J18" s="8"/>
      <c r="K18" s="8"/>
      <c r="L18" s="8"/>
      <c r="M18" s="8"/>
      <c r="N18" s="8"/>
      <c r="O18" s="8"/>
      <c r="P18" s="9"/>
      <c r="Q18" s="9"/>
      <c r="R18" s="9"/>
      <c r="S18" s="9"/>
      <c r="T18" s="9"/>
    </row>
    <row r="19" spans="1:20" ht="13.5">
      <c r="A19" s="6"/>
      <c r="B19" s="6"/>
      <c r="C19" s="6"/>
      <c r="D19" s="6"/>
      <c r="E19" s="6"/>
      <c r="F19" s="7"/>
      <c r="G19" s="6"/>
      <c r="H19" s="6"/>
      <c r="I19" s="6"/>
      <c r="J19" s="6"/>
      <c r="K19" s="6"/>
      <c r="L19" s="6"/>
      <c r="M19" s="6"/>
      <c r="N19" s="6"/>
      <c r="O19" s="6"/>
      <c r="P19" s="7"/>
      <c r="Q19" s="7"/>
      <c r="R19" s="7"/>
      <c r="S19" s="7"/>
      <c r="T19" s="7"/>
    </row>
    <row r="20" spans="1:20" ht="13.5">
      <c r="A20" s="8"/>
      <c r="B20" s="8"/>
      <c r="C20" s="8"/>
      <c r="D20" s="8"/>
      <c r="E20" s="8"/>
      <c r="F20" s="9"/>
      <c r="G20" s="8"/>
      <c r="H20" s="8"/>
      <c r="I20" s="8"/>
      <c r="J20" s="8"/>
      <c r="K20" s="8"/>
      <c r="L20" s="8"/>
      <c r="M20" s="8"/>
      <c r="N20" s="8"/>
      <c r="O20" s="8"/>
      <c r="P20" s="9"/>
      <c r="Q20" s="9"/>
      <c r="R20" s="9"/>
      <c r="S20" s="9"/>
      <c r="T20" s="9"/>
    </row>
    <row r="21" spans="1:20" ht="13.5">
      <c r="A21" s="6"/>
      <c r="B21" s="6"/>
      <c r="C21" s="6"/>
      <c r="D21" s="6"/>
      <c r="E21" s="6"/>
      <c r="F21" s="7"/>
      <c r="G21" s="6"/>
      <c r="H21" s="6"/>
      <c r="I21" s="6"/>
      <c r="J21" s="6"/>
      <c r="K21" s="6"/>
      <c r="L21" s="6"/>
      <c r="M21" s="6"/>
      <c r="N21" s="6"/>
      <c r="O21" s="6"/>
      <c r="P21" s="7"/>
      <c r="Q21" s="7"/>
      <c r="R21" s="7"/>
      <c r="S21" s="7"/>
      <c r="T21" s="7"/>
    </row>
    <row r="22" spans="1:20" ht="13.5">
      <c r="A22" s="8"/>
      <c r="B22" s="8"/>
      <c r="C22" s="8"/>
      <c r="D22" s="8"/>
      <c r="E22" s="8"/>
      <c r="F22" s="9"/>
      <c r="G22" s="8"/>
      <c r="H22" s="8"/>
      <c r="I22" s="8"/>
      <c r="J22" s="8"/>
      <c r="K22" s="8"/>
      <c r="L22" s="8"/>
      <c r="M22" s="8"/>
      <c r="N22" s="8"/>
      <c r="O22" s="8"/>
      <c r="P22" s="9"/>
      <c r="Q22" s="9"/>
      <c r="R22" s="9"/>
      <c r="S22" s="9"/>
      <c r="T22" s="9"/>
    </row>
    <row r="23" spans="1:20" ht="13.5">
      <c r="A23" s="6"/>
      <c r="B23" s="6"/>
      <c r="C23" s="6"/>
      <c r="D23" s="6"/>
      <c r="E23" s="6"/>
      <c r="F23" s="7"/>
      <c r="G23" s="6"/>
      <c r="H23" s="6"/>
      <c r="I23" s="6"/>
      <c r="J23" s="6"/>
      <c r="K23" s="6"/>
      <c r="L23" s="6"/>
      <c r="M23" s="6"/>
      <c r="N23" s="6"/>
      <c r="O23" s="6"/>
      <c r="P23" s="7"/>
      <c r="Q23" s="7"/>
      <c r="R23" s="7"/>
      <c r="S23" s="7"/>
      <c r="T23" s="7"/>
    </row>
    <row r="24" spans="1:20" ht="13.5">
      <c r="A24" s="8"/>
      <c r="B24" s="8"/>
      <c r="C24" s="8"/>
      <c r="D24" s="8"/>
      <c r="E24" s="8"/>
      <c r="F24" s="9"/>
      <c r="G24" s="8"/>
      <c r="H24" s="8"/>
      <c r="I24" s="8"/>
      <c r="J24" s="8"/>
      <c r="K24" s="8"/>
      <c r="L24" s="8"/>
      <c r="M24" s="8"/>
      <c r="N24" s="8"/>
      <c r="O24" s="8"/>
      <c r="P24" s="9"/>
      <c r="Q24" s="9"/>
      <c r="R24" s="9"/>
      <c r="S24" s="9"/>
      <c r="T24" s="9"/>
    </row>
    <row r="25" spans="1:20" ht="13.5">
      <c r="A25" s="6"/>
      <c r="B25" s="6"/>
      <c r="C25" s="6"/>
      <c r="D25" s="6"/>
      <c r="E25" s="6"/>
      <c r="F25" s="7"/>
      <c r="G25" s="6"/>
      <c r="H25" s="6"/>
      <c r="I25" s="6"/>
      <c r="J25" s="6"/>
      <c r="K25" s="6"/>
      <c r="L25" s="6"/>
      <c r="M25" s="6"/>
      <c r="N25" s="6"/>
      <c r="O25" s="6"/>
      <c r="P25" s="7"/>
      <c r="Q25" s="7"/>
      <c r="R25" s="7"/>
      <c r="S25" s="7"/>
      <c r="T25" s="7"/>
    </row>
    <row r="26" spans="1:20" ht="13.5">
      <c r="A26" s="8"/>
      <c r="B26" s="8"/>
      <c r="C26" s="8"/>
      <c r="D26" s="8"/>
      <c r="E26" s="8"/>
      <c r="F26" s="9"/>
      <c r="G26" s="8"/>
      <c r="H26" s="8"/>
      <c r="I26" s="8"/>
      <c r="J26" s="8"/>
      <c r="K26" s="8"/>
      <c r="L26" s="8"/>
      <c r="M26" s="8"/>
      <c r="N26" s="8"/>
      <c r="O26" s="8"/>
      <c r="P26" s="9"/>
      <c r="Q26" s="9"/>
      <c r="R26" s="9"/>
      <c r="S26" s="9"/>
      <c r="T26" s="9"/>
    </row>
    <row r="27" spans="1:20" ht="13.5">
      <c r="A27" s="29"/>
      <c r="B27" s="29"/>
      <c r="C27" s="29"/>
      <c r="D27" s="29"/>
      <c r="E27" s="29"/>
      <c r="F27" s="30"/>
      <c r="G27" s="29"/>
      <c r="H27" s="29"/>
      <c r="I27" s="29"/>
      <c r="J27" s="29"/>
      <c r="K27" s="29"/>
      <c r="L27" s="29"/>
      <c r="M27" s="29"/>
      <c r="N27" s="29"/>
      <c r="O27" s="29"/>
      <c r="P27" s="30"/>
      <c r="Q27" s="30"/>
      <c r="R27" s="30"/>
      <c r="S27" s="30"/>
      <c r="T27" s="30"/>
    </row>
    <row r="28" spans="1:20" ht="13.5">
      <c r="A28" s="5"/>
      <c r="B28" s="5"/>
      <c r="C28" s="5"/>
      <c r="D28" s="5"/>
      <c r="E28" s="5"/>
      <c r="F28" s="5"/>
      <c r="G28" s="5"/>
      <c r="H28" s="5"/>
      <c r="I28" s="5"/>
      <c r="J28" s="5"/>
      <c r="K28" s="5"/>
      <c r="L28" s="5"/>
      <c r="M28" s="5"/>
      <c r="N28" s="5"/>
      <c r="O28" s="5"/>
      <c r="P28" s="5"/>
      <c r="Q28" s="5"/>
      <c r="R28" s="5"/>
      <c r="S28" s="5"/>
      <c r="T28" s="5"/>
    </row>
    <row r="29" spans="1:20" ht="13.5">
      <c r="A29" s="5"/>
      <c r="B29" s="5"/>
      <c r="C29" s="5"/>
      <c r="D29" s="5"/>
      <c r="E29" s="5"/>
      <c r="F29" s="5"/>
      <c r="G29" s="5"/>
      <c r="H29" s="5"/>
      <c r="I29" s="5"/>
      <c r="J29" s="5"/>
      <c r="K29" s="5"/>
      <c r="L29" s="5"/>
      <c r="M29" s="5"/>
      <c r="N29" s="5"/>
      <c r="O29" s="5"/>
      <c r="P29" s="5"/>
      <c r="Q29" s="5"/>
      <c r="R29" s="5"/>
      <c r="S29" s="5"/>
      <c r="T29" s="5"/>
    </row>
    <row r="30" spans="1:20" ht="13.5">
      <c r="A30" s="5"/>
      <c r="B30" s="5"/>
      <c r="C30" s="5"/>
      <c r="D30" s="5"/>
      <c r="E30" s="5"/>
      <c r="F30" s="5"/>
      <c r="G30" s="5"/>
      <c r="H30" s="5"/>
      <c r="I30" s="5"/>
      <c r="J30" s="5"/>
      <c r="K30" s="5"/>
      <c r="L30" s="5"/>
      <c r="M30" s="5"/>
      <c r="N30" s="5"/>
      <c r="O30" s="5"/>
      <c r="P30" s="5"/>
      <c r="Q30" s="5"/>
      <c r="R30" s="5"/>
      <c r="S30" s="5"/>
      <c r="T30" s="5"/>
    </row>
    <row r="31" spans="1:20" ht="13.5">
      <c r="A31" s="5"/>
      <c r="B31" s="5"/>
      <c r="C31" s="5"/>
      <c r="D31" s="5"/>
      <c r="E31" s="5"/>
      <c r="F31" s="5"/>
      <c r="G31" s="5"/>
      <c r="H31" s="5"/>
      <c r="I31" s="5"/>
      <c r="J31" s="5"/>
      <c r="K31" s="5"/>
      <c r="L31" s="5"/>
      <c r="M31" s="5"/>
      <c r="N31" s="5"/>
      <c r="O31" s="5"/>
      <c r="P31" s="5"/>
      <c r="Q31" s="5"/>
      <c r="R31" s="5"/>
      <c r="S31" s="5"/>
      <c r="T31" s="5"/>
    </row>
    <row r="32" spans="1:20" ht="13.5">
      <c r="A32" s="5"/>
      <c r="B32" s="5"/>
      <c r="C32" s="5"/>
      <c r="D32" s="5"/>
      <c r="E32" s="5"/>
      <c r="F32" s="5"/>
      <c r="G32" s="5"/>
      <c r="H32" s="5"/>
      <c r="I32" s="5"/>
      <c r="J32" s="5"/>
      <c r="K32" s="5"/>
      <c r="L32" s="5"/>
      <c r="M32" s="5"/>
      <c r="N32" s="5"/>
      <c r="O32" s="5"/>
      <c r="P32" s="5"/>
      <c r="Q32" s="5"/>
      <c r="R32" s="5"/>
      <c r="S32" s="5"/>
      <c r="T32" s="5"/>
    </row>
    <row r="33" spans="1:20" ht="13.5">
      <c r="A33" s="5"/>
      <c r="B33" s="5"/>
      <c r="C33" s="5"/>
      <c r="D33" s="5"/>
      <c r="E33" s="5"/>
      <c r="F33" s="5"/>
      <c r="G33" s="5"/>
      <c r="H33" s="5"/>
      <c r="I33" s="5"/>
      <c r="J33" s="5"/>
      <c r="K33" s="5"/>
      <c r="L33" s="5"/>
      <c r="M33" s="5"/>
      <c r="N33" s="5"/>
      <c r="O33" s="5"/>
      <c r="P33" s="5"/>
      <c r="Q33" s="5"/>
      <c r="R33" s="5"/>
      <c r="S33" s="5"/>
      <c r="T33" s="5"/>
    </row>
    <row r="34" spans="1:20" ht="13.5">
      <c r="A34" s="5"/>
      <c r="B34" s="5"/>
      <c r="C34" s="5"/>
      <c r="D34" s="5"/>
      <c r="E34" s="5"/>
      <c r="F34" s="5"/>
      <c r="G34" s="5"/>
      <c r="H34" s="5"/>
      <c r="I34" s="5"/>
      <c r="J34" s="5"/>
      <c r="K34" s="5"/>
      <c r="L34" s="5"/>
      <c r="M34" s="5"/>
      <c r="N34" s="5"/>
      <c r="O34" s="5"/>
      <c r="P34" s="5"/>
      <c r="Q34" s="5"/>
      <c r="R34" s="5"/>
      <c r="S34" s="5"/>
      <c r="T34" s="5"/>
    </row>
    <row r="35" spans="1:20" ht="13.5">
      <c r="A35" s="5"/>
      <c r="B35" s="5"/>
      <c r="C35" s="5"/>
      <c r="D35" s="5"/>
      <c r="E35" s="5"/>
      <c r="F35" s="5"/>
      <c r="G35" s="5"/>
      <c r="H35" s="5"/>
      <c r="I35" s="5"/>
      <c r="J35" s="5"/>
      <c r="K35" s="5"/>
      <c r="L35" s="5"/>
      <c r="M35" s="5"/>
      <c r="N35" s="5"/>
      <c r="O35" s="5"/>
      <c r="P35" s="5"/>
      <c r="Q35" s="5"/>
      <c r="R35" s="5"/>
      <c r="S35" s="5"/>
      <c r="T35" s="5"/>
    </row>
  </sheetData>
  <dataValidations disablePrompts="1" count="1">
    <dataValidation type="list" allowBlank="1" showInputMessage="1" showErrorMessage="1" sqref="G2:G14" xr:uid="{5EA81B33-05CE-408E-BABF-66D1FFEBB7B6}">
      <formula1>"Not Started, On Course, Complete"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9"/>
  <sheetViews>
    <sheetView topLeftCell="F1" workbookViewId="0">
      <selection activeCell="S8" sqref="S8"/>
    </sheetView>
  </sheetViews>
  <sheetFormatPr defaultRowHeight="12.75"/>
  <cols>
    <col min="1" max="1" width="16" customWidth="1"/>
    <col min="2" max="3" width="12" customWidth="1"/>
    <col min="4" max="4" width="20" customWidth="1"/>
    <col min="5" max="5" width="10" customWidth="1"/>
    <col min="6" max="6" width="9" customWidth="1"/>
    <col min="7" max="7" width="10" customWidth="1"/>
    <col min="8" max="8" width="25" customWidth="1"/>
    <col min="9" max="9" width="28" customWidth="1"/>
    <col min="10" max="10" width="18" customWidth="1"/>
    <col min="11" max="11" width="29" customWidth="1"/>
    <col min="12" max="12" width="44" customWidth="1"/>
    <col min="13" max="17" width="13" customWidth="1"/>
    <col min="18" max="18" width="22" customWidth="1"/>
    <col min="19" max="19" width="16" customWidth="1"/>
  </cols>
  <sheetData>
    <row r="1" spans="1:19" ht="25.5">
      <c r="A1" s="145" t="s">
        <v>235</v>
      </c>
      <c r="B1" s="145" t="s">
        <v>236</v>
      </c>
      <c r="C1" s="145" t="s">
        <v>237</v>
      </c>
      <c r="D1" s="145" t="s">
        <v>238</v>
      </c>
      <c r="E1" s="145" t="s">
        <v>239</v>
      </c>
      <c r="F1" s="145" t="s">
        <v>240</v>
      </c>
      <c r="G1" s="145" t="s">
        <v>241</v>
      </c>
      <c r="H1" s="145" t="s">
        <v>242</v>
      </c>
      <c r="I1" s="145" t="s">
        <v>243</v>
      </c>
      <c r="J1" s="145" t="s">
        <v>244</v>
      </c>
      <c r="K1" s="145" t="s">
        <v>245</v>
      </c>
      <c r="L1" s="145" t="s">
        <v>246</v>
      </c>
      <c r="M1" s="145" t="s">
        <v>247</v>
      </c>
      <c r="N1" s="145" t="s">
        <v>248</v>
      </c>
      <c r="O1" s="145" t="s">
        <v>249</v>
      </c>
      <c r="P1" s="145" t="s">
        <v>250</v>
      </c>
      <c r="Q1" s="145" t="s">
        <v>251</v>
      </c>
      <c r="R1" s="145" t="s">
        <v>252</v>
      </c>
      <c r="S1" s="145" t="s">
        <v>253</v>
      </c>
    </row>
    <row r="2" spans="1:19" ht="51">
      <c r="A2" s="148" t="str">
        <f>'Player Stats'!A5</f>
        <v>red-sam</v>
      </c>
      <c r="B2" s="148" t="str">
        <f>'Player Stats'!M5</f>
        <v>Sam</v>
      </c>
      <c r="C2" s="148" t="str">
        <f>'Player Stats'!N5</f>
        <v>Griffiths</v>
      </c>
      <c r="D2" s="148" t="str">
        <f>'Player Stats'!B5</f>
        <v>Sam Griffiths</v>
      </c>
      <c r="E2" s="148" t="str">
        <f>LOWER('Player Stats'!C5)</f>
        <v>red</v>
      </c>
      <c r="F2" s="148" t="b">
        <f>IF('Player Stats'!D5="Yes",TRUE,FALSE)</f>
        <v>1</v>
      </c>
      <c r="G2" s="150">
        <f>'Player Stats'!O5</f>
        <v>13</v>
      </c>
      <c r="H2" s="148" t="str">
        <f>'Player Stats'!P5</f>
        <v>North Vancouver, British Columbia</v>
      </c>
      <c r="I2" s="148" t="str">
        <f>'Player Stats'!Q5</f>
        <v>Sunningdale Golf Club</v>
      </c>
      <c r="J2" s="148" t="str">
        <f>'Player Stats'!R5</f>
        <v>Guinness</v>
      </c>
      <c r="K2" s="148" t="str">
        <f>'Player Stats'!S5</f>
        <v>I Don’t Wanna Be – Gavin Degraw</v>
      </c>
      <c r="L2" s="148" t="str">
        <f>'Player Stats'!T5</f>
        <v>An original founder of the Cyder Cup. Sam's golf game closely mirrors his excel spreadsheets; aesthetically pleasing to the eye, often over-engineered, and on rare occasion has no #VALUE.</v>
      </c>
      <c r="M2" s="150">
        <f>'Player Stats'!E5</f>
        <v>8</v>
      </c>
      <c r="N2" s="150">
        <f>'Player Stats'!F5</f>
        <v>6</v>
      </c>
      <c r="O2" s="150">
        <f>'Player Stats'!G5</f>
        <v>1</v>
      </c>
      <c r="P2" s="150">
        <f>'Player Stats'!H5</f>
        <v>15</v>
      </c>
      <c r="Q2" s="150">
        <f>'Player Stats'!E5+'Player Stats'!G5*0.5</f>
        <v>8.5</v>
      </c>
      <c r="R2" s="152">
        <f>'Player Stats'!I5</f>
        <v>0.56666666666666665</v>
      </c>
      <c r="S2" s="148" t="str">
        <f>'Player Stats'!U5</f>
        <v>red-sam</v>
      </c>
    </row>
    <row r="3" spans="1:19" ht="38.25">
      <c r="A3" s="148" t="str">
        <f>'Player Stats'!A6</f>
        <v>red-kevin</v>
      </c>
      <c r="B3" s="148" t="str">
        <f>'Player Stats'!M6</f>
        <v>Kevin</v>
      </c>
      <c r="C3" s="148" t="str">
        <f>'Player Stats'!N6</f>
        <v>Catliff</v>
      </c>
      <c r="D3" s="148" t="str">
        <f>'Player Stats'!B6</f>
        <v>Kevin Catliff</v>
      </c>
      <c r="E3" s="148" t="str">
        <f>LOWER('Player Stats'!C6)</f>
        <v>red</v>
      </c>
      <c r="F3" s="148" t="b">
        <f>IF('Player Stats'!D6="Yes",TRUE,FALSE)</f>
        <v>1</v>
      </c>
      <c r="G3" s="150">
        <f>'Player Stats'!O6</f>
        <v>8</v>
      </c>
      <c r="H3" s="148" t="str">
        <f>'Player Stats'!P6</f>
        <v>Vancouver, British Columbia</v>
      </c>
      <c r="I3" s="148" t="str">
        <f>'Player Stats'!Q6</f>
        <v>Bowen Island Golf Club</v>
      </c>
      <c r="J3" s="148" t="str">
        <f>'Player Stats'!R6</f>
        <v>Suntory</v>
      </c>
      <c r="K3" s="148" t="str">
        <f>'Player Stats'!S6</f>
        <v>Heaven Takes You Home - SHM</v>
      </c>
      <c r="L3" s="148" t="str">
        <f>'Player Stats'!T6</f>
        <v xml:space="preserve">One half of the lefty brothers. As good at sinking putts and he is sinking ping pong balls. Proudly hold the worst athleticism-to-swing speed ratio. </v>
      </c>
      <c r="M3" s="150">
        <f>'Player Stats'!E6</f>
        <v>6</v>
      </c>
      <c r="N3" s="150">
        <f>'Player Stats'!F6</f>
        <v>8</v>
      </c>
      <c r="O3" s="150">
        <f>'Player Stats'!G6</f>
        <v>1</v>
      </c>
      <c r="P3" s="150">
        <f>'Player Stats'!H6</f>
        <v>15</v>
      </c>
      <c r="Q3" s="150">
        <f>'Player Stats'!E6+'Player Stats'!G6*0.5</f>
        <v>6.5</v>
      </c>
      <c r="R3" s="152">
        <f>'Player Stats'!I6</f>
        <v>0.43333333333333335</v>
      </c>
      <c r="S3" s="148" t="str">
        <f>'Player Stats'!U6</f>
        <v>red-kevin</v>
      </c>
    </row>
    <row r="4" spans="1:19" ht="38.25">
      <c r="A4" s="148" t="str">
        <f>'Player Stats'!A7</f>
        <v>red-sean</v>
      </c>
      <c r="B4" s="148" t="str">
        <f>'Player Stats'!M7</f>
        <v>Sean</v>
      </c>
      <c r="C4" s="148" t="str">
        <f>'Player Stats'!N7</f>
        <v>Bromley</v>
      </c>
      <c r="D4" s="148" t="str">
        <f>'Player Stats'!B7</f>
        <v>Sean Bromley</v>
      </c>
      <c r="E4" s="148" t="str">
        <f>LOWER('Player Stats'!C7)</f>
        <v>red</v>
      </c>
      <c r="F4" s="148" t="b">
        <f>IF('Player Stats'!D7="Yes",TRUE,FALSE)</f>
        <v>1</v>
      </c>
      <c r="G4" s="150">
        <f>'Player Stats'!O7</f>
        <v>21</v>
      </c>
      <c r="H4" s="148" t="str">
        <f>'Player Stats'!P7</f>
        <v>Vancouver, British Columbia</v>
      </c>
      <c r="I4" s="148" t="str">
        <f>'Player Stats'!Q7</f>
        <v>Capilano Golf and Country Club</v>
      </c>
      <c r="J4" s="148" t="str">
        <f>'Player Stats'!R7</f>
        <v>Whiskey</v>
      </c>
      <c r="K4" s="148" t="str">
        <f>'Player Stats'!S7</f>
        <v>Beer Never Broke My Heart - Luke Combs</v>
      </c>
      <c r="L4" s="148" t="str">
        <f>'Player Stats'!T7</f>
        <v xml:space="preserve">Sean has become the sneaky backbone of the Cyder Cup culture. Whether its his energy or his golf, Sean never goes below 100. </v>
      </c>
      <c r="M4" s="150">
        <f>'Player Stats'!E7</f>
        <v>5</v>
      </c>
      <c r="N4" s="150">
        <f>'Player Stats'!F7</f>
        <v>10</v>
      </c>
      <c r="O4" s="150">
        <f>'Player Stats'!G7</f>
        <v>0</v>
      </c>
      <c r="P4" s="150">
        <f>'Player Stats'!H7</f>
        <v>15</v>
      </c>
      <c r="Q4" s="150">
        <f>'Player Stats'!E7+'Player Stats'!G7*0.5</f>
        <v>5</v>
      </c>
      <c r="R4" s="152">
        <f>'Player Stats'!I7</f>
        <v>0.33333333333333331</v>
      </c>
      <c r="S4" s="148" t="str">
        <f>'Player Stats'!U7</f>
        <v>red-sean</v>
      </c>
    </row>
    <row r="5" spans="1:19" ht="63.75">
      <c r="A5" s="148" t="str">
        <f>'Player Stats'!A8</f>
        <v>red-dylan</v>
      </c>
      <c r="B5" s="148" t="str">
        <f>'Player Stats'!M8</f>
        <v>Dylan</v>
      </c>
      <c r="C5" s="148" t="str">
        <f>'Player Stats'!N8</f>
        <v>Bradley</v>
      </c>
      <c r="D5" s="148" t="str">
        <f>'Player Stats'!B8</f>
        <v>Dylan Bradley</v>
      </c>
      <c r="E5" s="148" t="str">
        <f>LOWER('Player Stats'!C8)</f>
        <v>red</v>
      </c>
      <c r="F5" s="148" t="b">
        <f>IF('Player Stats'!D8="Yes",TRUE,FALSE)</f>
        <v>1</v>
      </c>
      <c r="G5" s="150">
        <f>'Player Stats'!O8</f>
        <v>15</v>
      </c>
      <c r="H5" s="148" t="str">
        <f>'Player Stats'!P8</f>
        <v>Pitt Meadows, British Columbia</v>
      </c>
      <c r="I5" s="148" t="str">
        <f>'Player Stats'!Q8</f>
        <v>Pitt Meadows Golf Club</v>
      </c>
      <c r="J5" s="148" t="str">
        <f>'Player Stats'!R8</f>
        <v>Tequila Soda</v>
      </c>
      <c r="K5" s="148" t="str">
        <f>'Player Stats'!S8</f>
        <v>Shook Ones – Mobb Deep</v>
      </c>
      <c r="L5" s="148" t="str">
        <f>'Player Stats'!T8</f>
        <v>Breaking records and breaking (his own) bones. Known for his fiery personality, Dylan spends Cyder Cup weekend seeing red—both physically and mentally. No player is more due for a breakout performance in 2026.</v>
      </c>
      <c r="M5" s="150">
        <f>'Player Stats'!E8</f>
        <v>4</v>
      </c>
      <c r="N5" s="150">
        <f>'Player Stats'!F8</f>
        <v>11</v>
      </c>
      <c r="O5" s="150">
        <f>'Player Stats'!G8</f>
        <v>0</v>
      </c>
      <c r="P5" s="150">
        <f>'Player Stats'!H8</f>
        <v>15</v>
      </c>
      <c r="Q5" s="150">
        <f>'Player Stats'!E8+'Player Stats'!G8*0.5</f>
        <v>4</v>
      </c>
      <c r="R5" s="152">
        <f>'Player Stats'!I8</f>
        <v>0.26666666666666666</v>
      </c>
      <c r="S5" s="148" t="str">
        <f>'Player Stats'!U8</f>
        <v>red-dylan</v>
      </c>
    </row>
    <row r="6" spans="1:19" ht="38.25">
      <c r="A6" s="148" t="str">
        <f>'Player Stats'!A9</f>
        <v>navy-eric</v>
      </c>
      <c r="B6" s="148" t="str">
        <f>'Player Stats'!M9</f>
        <v>Eric</v>
      </c>
      <c r="C6" s="148" t="str">
        <f>'Player Stats'!N9</f>
        <v>Bleim</v>
      </c>
      <c r="D6" s="148" t="str">
        <f>'Player Stats'!B9</f>
        <v>Eric Bleim</v>
      </c>
      <c r="E6" s="148" t="str">
        <f>LOWER('Player Stats'!C9)</f>
        <v>navy</v>
      </c>
      <c r="F6" s="148" t="b">
        <f>IF('Player Stats'!D9="Yes",TRUE,FALSE)</f>
        <v>1</v>
      </c>
      <c r="G6" s="150">
        <f>'Player Stats'!O9</f>
        <v>16</v>
      </c>
      <c r="H6" s="148" t="str">
        <f>'Player Stats'!P9</f>
        <v>North Vancouver, British Columbia</v>
      </c>
      <c r="I6" s="148" t="str">
        <f>'Player Stats'!Q9</f>
        <v>The Redwoods Golf Course</v>
      </c>
      <c r="J6" s="148" t="str">
        <f>'Player Stats'!R9</f>
        <v>Orange Crush (zero sugar)</v>
      </c>
      <c r="K6" s="148" t="str">
        <f>'Player Stats'!S9</f>
        <v>Pink Pony Club – Chappell Roan</v>
      </c>
      <c r="L6" s="148" t="str">
        <f>'Player Stats'!T9</f>
        <v xml:space="preserve">An original founder of the Cyder Cup. Currently seeing the numbers on the scale go down and numbers on the scorecard go up. </v>
      </c>
      <c r="M6" s="150">
        <f>'Player Stats'!E9</f>
        <v>8</v>
      </c>
      <c r="N6" s="150">
        <f>'Player Stats'!F9</f>
        <v>7</v>
      </c>
      <c r="O6" s="150">
        <f>'Player Stats'!G9</f>
        <v>0</v>
      </c>
      <c r="P6" s="150">
        <f>'Player Stats'!H9</f>
        <v>15</v>
      </c>
      <c r="Q6" s="150">
        <f>'Player Stats'!E9+'Player Stats'!G9*0.5</f>
        <v>8</v>
      </c>
      <c r="R6" s="152">
        <f>'Player Stats'!I9</f>
        <v>0.53333333333333333</v>
      </c>
      <c r="S6" s="148" t="str">
        <f>'Player Stats'!U9</f>
        <v>navy-eric</v>
      </c>
    </row>
    <row r="7" spans="1:19" ht="51">
      <c r="A7" s="148" t="str">
        <f>'Player Stats'!A10</f>
        <v>navy-george</v>
      </c>
      <c r="B7" s="148" t="str">
        <f>'Player Stats'!M10</f>
        <v>George</v>
      </c>
      <c r="C7" s="148" t="str">
        <f>'Player Stats'!N10</f>
        <v>Collister</v>
      </c>
      <c r="D7" s="148" t="str">
        <f>'Player Stats'!B10</f>
        <v>George Collister</v>
      </c>
      <c r="E7" s="148" t="str">
        <f>LOWER('Player Stats'!C10)</f>
        <v>navy</v>
      </c>
      <c r="F7" s="148" t="b">
        <f>IF('Player Stats'!D10="Yes",TRUE,FALSE)</f>
        <v>1</v>
      </c>
      <c r="G7" s="150">
        <f>'Player Stats'!O10</f>
        <v>12</v>
      </c>
      <c r="H7" s="148" t="str">
        <f>'Player Stats'!P10</f>
        <v>Langley, British Columbia</v>
      </c>
      <c r="I7" s="148" t="str">
        <f>'Player Stats'!Q10</f>
        <v>The Redwoods Golf Course</v>
      </c>
      <c r="J7" s="148" t="str">
        <f>'Player Stats'!R10</f>
        <v>Miller Lite</v>
      </c>
      <c r="K7" s="148" t="str">
        <f>'Player Stats'!S10</f>
        <v>Money for nothing – Dire Straights</v>
      </c>
      <c r="L7" s="148" t="str">
        <f>'Player Stats'!T10</f>
        <v xml:space="preserve">George can't flip a cup but he can certainly flip a match. Known for bringing his corporate professionalism to the party. 
</v>
      </c>
      <c r="M7" s="150">
        <f>'Player Stats'!E10</f>
        <v>9</v>
      </c>
      <c r="N7" s="150">
        <f>'Player Stats'!F10</f>
        <v>6</v>
      </c>
      <c r="O7" s="150">
        <f>'Player Stats'!G10</f>
        <v>0</v>
      </c>
      <c r="P7" s="150">
        <f>'Player Stats'!H10</f>
        <v>15</v>
      </c>
      <c r="Q7" s="150">
        <f>'Player Stats'!E10+'Player Stats'!G10*0.5</f>
        <v>9</v>
      </c>
      <c r="R7" s="152">
        <f>'Player Stats'!I10</f>
        <v>0.6</v>
      </c>
      <c r="S7" s="148" t="str">
        <f>'Player Stats'!U10</f>
        <v>navy-george</v>
      </c>
    </row>
    <row r="8" spans="1:19" ht="51">
      <c r="A8" s="148" t="str">
        <f>'Player Stats'!A11</f>
        <v>navy-steven</v>
      </c>
      <c r="B8" s="148" t="str">
        <f>'Player Stats'!M11</f>
        <v>Steve</v>
      </c>
      <c r="C8" s="148" t="str">
        <f>'Player Stats'!N11</f>
        <v>Wells</v>
      </c>
      <c r="D8" s="148" t="str">
        <f>'Player Stats'!B11</f>
        <v>Steve Wells</v>
      </c>
      <c r="E8" s="148" t="str">
        <f>LOWER('Player Stats'!C11)</f>
        <v>navy</v>
      </c>
      <c r="F8" s="148" t="b">
        <f>IF('Player Stats'!D11="Yes",TRUE,FALSE)</f>
        <v>1</v>
      </c>
      <c r="G8" s="150">
        <f>'Player Stats'!O11</f>
        <v>24</v>
      </c>
      <c r="H8" s="148" t="str">
        <f>'Player Stats'!P11</f>
        <v>North Vancouver, British Columbia</v>
      </c>
      <c r="I8" s="148" t="str">
        <f>'Player Stats'!Q11</f>
        <v>Royal Porthcawl</v>
      </c>
      <c r="J8" s="148" t="str">
        <f>'Player Stats'!R11</f>
        <v>Peppermint tea</v>
      </c>
      <c r="K8" s="148" t="str">
        <f>'Player Stats'!S11</f>
        <v>Holding out for a Hero - RIP Bonnie</v>
      </c>
      <c r="L8" s="148" t="str">
        <f>'Player Stats'!T11</f>
        <v>Regarded as the Dad of the group. Steve's special talent is his ability to 4-putt multiple times in a round yet still not lose. Team Navy's most winningest player in the history of the Cyder Cup.</v>
      </c>
      <c r="M8" s="150">
        <f>'Player Stats'!E11</f>
        <v>10</v>
      </c>
      <c r="N8" s="150">
        <f>'Player Stats'!F11</f>
        <v>5</v>
      </c>
      <c r="O8" s="150">
        <f>'Player Stats'!G11</f>
        <v>0</v>
      </c>
      <c r="P8" s="150">
        <f>'Player Stats'!H11</f>
        <v>15</v>
      </c>
      <c r="Q8" s="150">
        <f>'Player Stats'!E11+'Player Stats'!G11*0.5</f>
        <v>10</v>
      </c>
      <c r="R8" s="152">
        <f>'Player Stats'!I11</f>
        <v>0.66666666666666663</v>
      </c>
      <c r="S8" s="148" t="str">
        <f>'Player Stats'!U11</f>
        <v>navy-steve</v>
      </c>
    </row>
    <row r="9" spans="1:19" ht="76.5">
      <c r="A9" s="149" t="str">
        <f>'Player Stats'!A12</f>
        <v>navy-jj</v>
      </c>
      <c r="B9" s="149" t="str">
        <f>'Player Stats'!M12</f>
        <v>JJ</v>
      </c>
      <c r="C9" s="149" t="str">
        <f>'Player Stats'!N12</f>
        <v>Meakings</v>
      </c>
      <c r="D9" s="149" t="str">
        <f>'Player Stats'!B12</f>
        <v>JJ Meakings</v>
      </c>
      <c r="E9" s="149" t="str">
        <f>LOWER('Player Stats'!C12)</f>
        <v>navy</v>
      </c>
      <c r="F9" s="149" t="b">
        <f>IF('Player Stats'!D12="Yes",TRUE,FALSE)</f>
        <v>1</v>
      </c>
      <c r="G9" s="151">
        <f>'Player Stats'!O12</f>
        <v>5</v>
      </c>
      <c r="H9" s="149" t="str">
        <f>'Player Stats'!P12</f>
        <v>Scottsdale, Arizona</v>
      </c>
      <c r="I9" s="149" t="str">
        <f>'Player Stats'!Q12</f>
        <v>Trilogy Golf Club at Vistancia</v>
      </c>
      <c r="J9" s="149" t="str">
        <f>'Player Stats'!R12</f>
        <v>Diet Coke</v>
      </c>
      <c r="K9" s="149" t="str">
        <f>'Player Stats'!S12</f>
        <v>Talk of the Town – Fred Again</v>
      </c>
      <c r="L9" s="149" t="str">
        <f>'Player Stats'!T12</f>
        <v xml:space="preserve">Running away from his problems in Scottsdale, Arizona, JJ is known for playing good golf every weekend except the Cyder Cup weekend. Only player to bring extras clubs to the Cyder Cup given the high likelihood one gets snapped in half or stuck in a tree. </v>
      </c>
      <c r="M9" s="151">
        <f>'Player Stats'!E12</f>
        <v>8</v>
      </c>
      <c r="N9" s="151">
        <f>'Player Stats'!F12</f>
        <v>5</v>
      </c>
      <c r="O9" s="151">
        <f>'Player Stats'!G12</f>
        <v>2</v>
      </c>
      <c r="P9" s="151">
        <f>'Player Stats'!H12</f>
        <v>15</v>
      </c>
      <c r="Q9" s="151">
        <f>'Player Stats'!E12+'Player Stats'!G12*0.5</f>
        <v>9</v>
      </c>
      <c r="R9" s="153">
        <f>'Player Stats'!I12</f>
        <v>0.6</v>
      </c>
      <c r="S9" s="149" t="str">
        <f>'Player Stats'!U12</f>
        <v>navy-jj</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7"/>
  <sheetViews>
    <sheetView workbookViewId="0">
      <selection activeCell="D5" sqref="D5"/>
    </sheetView>
  </sheetViews>
  <sheetFormatPr defaultRowHeight="12.75"/>
  <cols>
    <col min="1" max="1" width="20" customWidth="1"/>
    <col min="2" max="2" width="9" customWidth="1"/>
    <col min="3" max="3" width="20" customWidth="1"/>
    <col min="4" max="4" width="58" customWidth="1"/>
    <col min="5" max="5" width="16" customWidth="1"/>
    <col min="6" max="6" width="20" customWidth="1"/>
    <col min="7" max="7" width="12" customWidth="1"/>
    <col min="8" max="10" width="13" customWidth="1"/>
    <col min="11" max="11" width="14" customWidth="1"/>
    <col min="12" max="14" width="12" customWidth="1"/>
    <col min="15" max="15" width="20" customWidth="1"/>
    <col min="16" max="16" width="18" customWidth="1"/>
    <col min="17" max="17" width="42" customWidth="1"/>
    <col min="18" max="18" width="50" customWidth="1"/>
    <col min="19" max="19" width="34" customWidth="1"/>
    <col min="20" max="20" width="18" customWidth="1"/>
    <col min="21" max="21" width="34" customWidth="1"/>
    <col min="22" max="22" width="14" customWidth="1"/>
  </cols>
  <sheetData>
    <row r="1" spans="1:22" ht="25.5">
      <c r="A1" s="154" t="s">
        <v>218</v>
      </c>
      <c r="B1" s="154" t="s">
        <v>254</v>
      </c>
      <c r="C1" s="154" t="s">
        <v>255</v>
      </c>
      <c r="D1" s="154" t="s">
        <v>256</v>
      </c>
      <c r="E1" s="154" t="s">
        <v>257</v>
      </c>
      <c r="F1" s="154" t="s">
        <v>258</v>
      </c>
      <c r="G1" s="154" t="s">
        <v>259</v>
      </c>
      <c r="H1" s="154" t="s">
        <v>260</v>
      </c>
      <c r="I1" s="154" t="s">
        <v>261</v>
      </c>
      <c r="J1" s="154" t="s">
        <v>223</v>
      </c>
      <c r="K1" s="154" t="s">
        <v>262</v>
      </c>
      <c r="L1" s="154" t="s">
        <v>232</v>
      </c>
      <c r="M1" s="154" t="s">
        <v>233</v>
      </c>
      <c r="N1" s="154" t="s">
        <v>263</v>
      </c>
      <c r="O1" s="154" t="s">
        <v>264</v>
      </c>
      <c r="P1" s="154" t="s">
        <v>265</v>
      </c>
      <c r="Q1" s="154" t="s">
        <v>266</v>
      </c>
      <c r="R1" s="169" t="s">
        <v>370</v>
      </c>
      <c r="S1" s="169" t="s">
        <v>371</v>
      </c>
      <c r="T1" s="169" t="s">
        <v>372</v>
      </c>
      <c r="U1" s="169" t="s">
        <v>373</v>
      </c>
      <c r="V1" s="169" t="s">
        <v>374</v>
      </c>
    </row>
    <row r="2" spans="1:22" ht="25.5">
      <c r="A2" s="146" t="str">
        <f>"cyder-cup-"&amp;TEXT('Record Book'!A7,"0")</f>
        <v>cyder-cup-2019</v>
      </c>
      <c r="B2" s="146">
        <f>'Record Book'!A7</f>
        <v>2019</v>
      </c>
      <c r="C2" s="146" t="str">
        <f>"Cyder Cup "&amp;TEXT(B2,"0")</f>
        <v>Cyder Cup 2019</v>
      </c>
      <c r="D2" s="146" t="s">
        <v>267</v>
      </c>
      <c r="E2" s="146" t="s">
        <v>268</v>
      </c>
      <c r="F2" s="146" t="s">
        <v>269</v>
      </c>
      <c r="G2" s="146" t="s">
        <v>270</v>
      </c>
      <c r="H2" s="155">
        <v>43680</v>
      </c>
      <c r="I2" s="155">
        <v>43682</v>
      </c>
      <c r="J2" s="146" t="str">
        <f>"complete"</f>
        <v>complete</v>
      </c>
      <c r="K2" s="146" t="str">
        <f>LOWER('Record Book'!B7)</f>
        <v>navy</v>
      </c>
      <c r="L2" s="156">
        <f>'Record Book'!F7</f>
        <v>13.5</v>
      </c>
      <c r="M2" s="156">
        <f>'Record Book'!E7</f>
        <v>1.5</v>
      </c>
      <c r="N2" s="156">
        <f>15.5</f>
        <v>15.5</v>
      </c>
      <c r="O2" s="146" t="str">
        <f>'Record Book'!C7</f>
        <v>Eric Bleim</v>
      </c>
      <c r="P2" s="146" t="str">
        <f>""</f>
        <v/>
      </c>
      <c r="Q2" s="146" t="str">
        <f>"The "&amp;TEXT(B2,"0")&amp;" Cyder Cup was won by Team "&amp;PROPER(K2)&amp;" "&amp;'Record Book'!D7&amp;"."</f>
        <v>The 2019 Cyder Cup was won by Team Navy 13.5 - 1.5.</v>
      </c>
      <c r="R2" s="146"/>
      <c r="S2" s="146"/>
      <c r="T2" s="146" t="s">
        <v>375</v>
      </c>
      <c r="U2" s="146"/>
      <c r="V2" s="146" t="s">
        <v>376</v>
      </c>
    </row>
    <row r="3" spans="1:22" ht="25.5">
      <c r="A3" s="146" t="str">
        <f>"cyder-cup-"&amp;TEXT('Record Book'!A8,"0")</f>
        <v>cyder-cup-2020</v>
      </c>
      <c r="B3" s="146">
        <f>'Record Book'!A8</f>
        <v>2020</v>
      </c>
      <c r="C3" s="146" t="str">
        <f>"Cyder Cup "&amp;TEXT(B3,"0")</f>
        <v>Cyder Cup 2020</v>
      </c>
      <c r="D3" s="146" t="s">
        <v>271</v>
      </c>
      <c r="E3" s="146" t="s">
        <v>268</v>
      </c>
      <c r="F3" s="146" t="s">
        <v>269</v>
      </c>
      <c r="G3" s="146" t="s">
        <v>270</v>
      </c>
      <c r="H3" s="155">
        <v>44044</v>
      </c>
      <c r="I3" s="155">
        <v>44046</v>
      </c>
      <c r="J3" s="146" t="str">
        <f>"complete"</f>
        <v>complete</v>
      </c>
      <c r="K3" s="146" t="str">
        <f>LOWER('Record Book'!B8)</f>
        <v>red</v>
      </c>
      <c r="L3" s="156">
        <f>'Record Book'!F8</f>
        <v>5</v>
      </c>
      <c r="M3" s="156">
        <f>'Record Book'!E8</f>
        <v>10</v>
      </c>
      <c r="N3" s="156">
        <f>15.5</f>
        <v>15.5</v>
      </c>
      <c r="O3" s="146" t="str">
        <f>'Record Book'!C8</f>
        <v>Kevin Catliff</v>
      </c>
      <c r="P3" s="146" t="str">
        <f>""</f>
        <v/>
      </c>
      <c r="Q3" s="146" t="str">
        <f>"The "&amp;TEXT(B3,"0")&amp;" Cyder Cup was won by Team "&amp;PROPER(K3)&amp;" "&amp;'Record Book'!D8&amp;"."</f>
        <v>The 2020 Cyder Cup was won by Team Red 10 - 5.</v>
      </c>
      <c r="R3" s="146"/>
      <c r="S3" s="146"/>
      <c r="T3" s="146" t="s">
        <v>377</v>
      </c>
      <c r="U3" s="146"/>
      <c r="V3" s="146" t="s">
        <v>376</v>
      </c>
    </row>
    <row r="4" spans="1:22" ht="25.5">
      <c r="A4" s="146" t="str">
        <f>"cyder-cup-"&amp;TEXT('Record Book'!A9,"0")</f>
        <v>cyder-cup-2021</v>
      </c>
      <c r="B4" s="146">
        <f>'Record Book'!A9</f>
        <v>2021</v>
      </c>
      <c r="C4" s="146" t="str">
        <f>"Cyder Cup "&amp;TEXT(B4,"0")</f>
        <v>Cyder Cup 2021</v>
      </c>
      <c r="D4" s="146" t="s">
        <v>272</v>
      </c>
      <c r="E4" s="146" t="s">
        <v>268</v>
      </c>
      <c r="F4" s="146" t="s">
        <v>269</v>
      </c>
      <c r="G4" s="146" t="s">
        <v>270</v>
      </c>
      <c r="H4" s="155">
        <v>44385</v>
      </c>
      <c r="I4" s="155">
        <v>44387</v>
      </c>
      <c r="J4" s="146" t="str">
        <f>"complete"</f>
        <v>complete</v>
      </c>
      <c r="K4" s="146" t="str">
        <f>LOWER('Record Book'!B9)</f>
        <v>red</v>
      </c>
      <c r="L4" s="156">
        <f>'Record Book'!F9</f>
        <v>6</v>
      </c>
      <c r="M4" s="156">
        <f>'Record Book'!E9</f>
        <v>9</v>
      </c>
      <c r="N4" s="156">
        <f>15.5</f>
        <v>15.5</v>
      </c>
      <c r="O4" s="146" t="str">
        <f>'Record Book'!C9</f>
        <v>Dylan Bradley</v>
      </c>
      <c r="P4" s="146" t="str">
        <f>""</f>
        <v/>
      </c>
      <c r="Q4" s="146" t="str">
        <f>"The "&amp;TEXT(B4,"0")&amp;" Cyder Cup was won by Team "&amp;PROPER(K4)&amp;" "&amp;'Record Book'!D9&amp;"."</f>
        <v>The 2021 Cyder Cup was won by Team Red 9 - 6.</v>
      </c>
      <c r="R4" s="146"/>
      <c r="S4" s="146"/>
      <c r="T4" s="146" t="s">
        <v>378</v>
      </c>
      <c r="U4" s="146"/>
      <c r="V4" s="146" t="s">
        <v>376</v>
      </c>
    </row>
    <row r="5" spans="1:22" ht="25.5">
      <c r="A5" s="146" t="str">
        <f>"cyder-cup-"&amp;TEXT('Record Book'!A10,"0")</f>
        <v>cyder-cup-2022</v>
      </c>
      <c r="B5" s="146">
        <f>'Record Book'!A10</f>
        <v>2022</v>
      </c>
      <c r="C5" s="146" t="str">
        <f>"Cyder Cup "&amp;TEXT(B5,"0")</f>
        <v>Cyder Cup 2022</v>
      </c>
      <c r="D5" s="146" t="s">
        <v>598</v>
      </c>
      <c r="E5" s="146" t="s">
        <v>273</v>
      </c>
      <c r="F5" s="146" t="s">
        <v>269</v>
      </c>
      <c r="G5" s="146" t="s">
        <v>270</v>
      </c>
      <c r="H5" s="155">
        <v>44792</v>
      </c>
      <c r="I5" s="155">
        <v>44794</v>
      </c>
      <c r="J5" s="146" t="str">
        <f>"complete"</f>
        <v>complete</v>
      </c>
      <c r="K5" s="146" t="str">
        <f>LOWER('Record Book'!B10)</f>
        <v>navy</v>
      </c>
      <c r="L5" s="156">
        <f>'Record Book'!F10</f>
        <v>8</v>
      </c>
      <c r="M5" s="156">
        <f>'Record Book'!E10</f>
        <v>7</v>
      </c>
      <c r="N5" s="156">
        <f>15.5</f>
        <v>15.5</v>
      </c>
      <c r="O5" s="146" t="str">
        <f>'Record Book'!C10</f>
        <v>JJ Meakings</v>
      </c>
      <c r="P5" s="146" t="str">
        <f>""</f>
        <v/>
      </c>
      <c r="Q5" s="146" t="str">
        <f>"The "&amp;TEXT(B5,"0")&amp;" Cyder Cup was won by Team "&amp;PROPER(K5)&amp;" "&amp;'Record Book'!D10&amp;"."</f>
        <v>The 2022 Cyder Cup was won by Team Navy 8 - 7.</v>
      </c>
      <c r="R5" s="146"/>
      <c r="S5" s="146"/>
      <c r="T5" s="146" t="s">
        <v>379</v>
      </c>
      <c r="U5" s="146"/>
      <c r="V5" s="146" t="s">
        <v>376</v>
      </c>
    </row>
    <row r="6" spans="1:22" ht="25.5">
      <c r="A6" s="146" t="str">
        <f>"cyder-cup-"&amp;TEXT('Record Book'!A11,"0")</f>
        <v>cyder-cup-2025</v>
      </c>
      <c r="B6" s="146">
        <f>'Record Book'!A11</f>
        <v>2025</v>
      </c>
      <c r="C6" s="146" t="str">
        <f>"Cyder Cup "&amp;TEXT(B6,"0")</f>
        <v>Cyder Cup 2025</v>
      </c>
      <c r="D6" s="146" t="s">
        <v>274</v>
      </c>
      <c r="E6" s="146" t="s">
        <v>275</v>
      </c>
      <c r="F6" s="146" t="s">
        <v>269</v>
      </c>
      <c r="G6" s="146" t="s">
        <v>270</v>
      </c>
      <c r="H6" s="155">
        <v>45881</v>
      </c>
      <c r="I6" s="155">
        <v>45884</v>
      </c>
      <c r="J6" s="146" t="str">
        <f>"complete"</f>
        <v>complete</v>
      </c>
      <c r="K6" s="146" t="str">
        <f>LOWER('Record Book'!B11)</f>
        <v>navy</v>
      </c>
      <c r="L6" s="156">
        <f>'Record Book'!F11</f>
        <v>9.5</v>
      </c>
      <c r="M6" s="156">
        <f>'Record Book'!E11</f>
        <v>5.5</v>
      </c>
      <c r="N6" s="156">
        <f>15.5</f>
        <v>15.5</v>
      </c>
      <c r="O6" s="146" t="str">
        <f>'Record Book'!C11</f>
        <v>Eric Bleim</v>
      </c>
      <c r="P6" s="146" t="str">
        <f>""</f>
        <v/>
      </c>
      <c r="Q6" s="146" t="str">
        <f>"The "&amp;TEXT(B6,"0")&amp;" Cyder Cup was won by Team "&amp;PROPER(K6)&amp;" "&amp;'Record Book'!D11&amp;"."</f>
        <v>The 2025 Cyder Cup was won by Team Navy 9.5 - 5.5.</v>
      </c>
      <c r="R6" s="146"/>
      <c r="S6" s="146"/>
      <c r="T6" s="146" t="s">
        <v>380</v>
      </c>
      <c r="U6" s="146" t="s">
        <v>381</v>
      </c>
      <c r="V6" s="146" t="s">
        <v>376</v>
      </c>
    </row>
    <row r="7" spans="1:22">
      <c r="A7" s="146" t="s">
        <v>276</v>
      </c>
      <c r="B7" s="146">
        <v>2026</v>
      </c>
      <c r="C7" s="146" t="s">
        <v>277</v>
      </c>
      <c r="D7" s="146" t="s">
        <v>278</v>
      </c>
      <c r="E7" s="146" t="s">
        <v>279</v>
      </c>
      <c r="F7" s="146" t="s">
        <v>269</v>
      </c>
      <c r="G7" s="146" t="s">
        <v>270</v>
      </c>
      <c r="H7" s="155">
        <v>46254</v>
      </c>
      <c r="I7" s="155">
        <v>46257</v>
      </c>
      <c r="J7" s="146" t="s">
        <v>280</v>
      </c>
      <c r="K7" s="146"/>
      <c r="L7" s="156">
        <f>'Live Leaderboard'!A7</f>
        <v>0</v>
      </c>
      <c r="M7" s="156">
        <f>'Live Leaderboard'!I7</f>
        <v>0</v>
      </c>
      <c r="N7" s="156">
        <f>'Live Leaderboard'!B3</f>
        <v>15.5</v>
      </c>
      <c r="O7" s="146"/>
      <c r="P7" s="146"/>
      <c r="Q7" s="146" t="s">
        <v>281</v>
      </c>
      <c r="R7" s="146"/>
      <c r="S7" s="146"/>
      <c r="T7" s="146" t="s">
        <v>382</v>
      </c>
      <c r="U7" s="146" t="s">
        <v>381</v>
      </c>
      <c r="V7" s="146" t="s">
        <v>383</v>
      </c>
    </row>
  </sheetData>
  <dataValidations count="1">
    <dataValidation type="list" sqref="V2:V100" xr:uid="{00000000-0002-0000-0500-000000000000}">
      <formula1>"Draft,Published,Archived"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20"/>
  <sheetViews>
    <sheetView workbookViewId="0"/>
  </sheetViews>
  <sheetFormatPr defaultRowHeight="12.75"/>
  <cols>
    <col min="1" max="1" width="24" customWidth="1"/>
    <col min="2" max="2" width="13" customWidth="1"/>
    <col min="3" max="3" width="31" customWidth="1"/>
    <col min="4" max="4" width="14" customWidth="1"/>
    <col min="5" max="6" width="18" customWidth="1"/>
    <col min="7" max="7" width="22" customWidth="1"/>
    <col min="8" max="8" width="12" customWidth="1"/>
    <col min="9" max="9" width="18" customWidth="1"/>
    <col min="10" max="10" width="10" customWidth="1"/>
    <col min="11" max="11" width="48" customWidth="1"/>
    <col min="12" max="12" width="12" customWidth="1"/>
    <col min="14" max="28" width="13" customWidth="1"/>
  </cols>
  <sheetData>
    <row r="1" spans="1:28">
      <c r="A1" s="158" t="s">
        <v>282</v>
      </c>
      <c r="B1" s="158" t="s">
        <v>283</v>
      </c>
      <c r="C1" s="158" t="s">
        <v>284</v>
      </c>
      <c r="D1" s="158" t="s">
        <v>285</v>
      </c>
      <c r="E1" s="158" t="s">
        <v>235</v>
      </c>
      <c r="F1" s="158" t="s">
        <v>239</v>
      </c>
      <c r="G1" s="158" t="s">
        <v>286</v>
      </c>
      <c r="H1" s="158" t="s">
        <v>287</v>
      </c>
      <c r="I1" s="158" t="s">
        <v>288</v>
      </c>
      <c r="J1" s="158" t="s">
        <v>254</v>
      </c>
      <c r="K1" s="158" t="s">
        <v>289</v>
      </c>
      <c r="L1" s="158" t="s">
        <v>290</v>
      </c>
      <c r="N1" s="161" t="s">
        <v>291</v>
      </c>
      <c r="O1" s="161" t="s">
        <v>292</v>
      </c>
      <c r="P1" s="161"/>
      <c r="Q1" s="161"/>
      <c r="R1" s="161"/>
      <c r="S1" s="161"/>
      <c r="T1" s="161"/>
      <c r="U1" s="161"/>
      <c r="V1" s="161"/>
      <c r="W1" s="161"/>
      <c r="X1" s="161"/>
      <c r="Y1" s="161"/>
      <c r="Z1" s="161"/>
      <c r="AA1" s="161"/>
      <c r="AB1" s="161"/>
    </row>
    <row r="2" spans="1:28">
      <c r="A2" s="146" t="s">
        <v>293</v>
      </c>
      <c r="B2" s="146" t="s">
        <v>294</v>
      </c>
      <c r="C2" s="146" t="s">
        <v>295</v>
      </c>
      <c r="D2" s="146" t="s">
        <v>296</v>
      </c>
      <c r="E2" s="146" t="str">
        <f>INDEX('Player Stats'!$A$5:$A$12,MATCH(MAX('Player Stats'!$E$5:$E$12),'Player Stats'!$E$5:$E$12,0))</f>
        <v>navy-steven</v>
      </c>
      <c r="F2" s="146"/>
      <c r="G2" s="146" t="str">
        <f>INDEX('Player Stats'!$B$5:$B$12,MATCH(MAX('Player Stats'!$E$5:$E$12),'Player Stats'!$E$5:$E$12,0))</f>
        <v>Steve Wells</v>
      </c>
      <c r="H2" s="147">
        <f>MAX('Player Stats'!$E$5:$E$12)</f>
        <v>10</v>
      </c>
      <c r="I2" s="146" t="str">
        <f>TEXT(H2,"0")&amp;" wins"</f>
        <v>10 wins</v>
      </c>
      <c r="J2" s="146"/>
      <c r="K2" s="146" t="s">
        <v>297</v>
      </c>
      <c r="L2" s="146">
        <v>10</v>
      </c>
      <c r="N2" s="160" t="str">
        <f>'Player Stats'!B5</f>
        <v>Sam Griffiths</v>
      </c>
      <c r="O2" s="160">
        <f>COUNTIF('Feed - Tournaments'!$O$2:$O$7,N2)</f>
        <v>0</v>
      </c>
      <c r="P2" s="160"/>
      <c r="Q2" s="160"/>
      <c r="R2" s="160"/>
      <c r="S2" s="160"/>
      <c r="T2" s="160"/>
      <c r="U2" s="160"/>
      <c r="V2" s="160"/>
      <c r="W2" s="160"/>
      <c r="X2" s="160"/>
      <c r="Y2" s="160"/>
      <c r="Z2" s="160"/>
      <c r="AA2" s="160"/>
      <c r="AB2" s="160"/>
    </row>
    <row r="3" spans="1:28">
      <c r="A3" s="146" t="s">
        <v>298</v>
      </c>
      <c r="B3" s="146" t="s">
        <v>294</v>
      </c>
      <c r="C3" s="146" t="s">
        <v>299</v>
      </c>
      <c r="D3" s="146" t="s">
        <v>296</v>
      </c>
      <c r="E3" s="146" t="str">
        <f>INDEX('Player Stats'!$A$5:$A$12,MATCH(MAX('Player Stats'!$I$5:$I$12),'Player Stats'!$I$5:$I$12,0))</f>
        <v>navy-steven</v>
      </c>
      <c r="F3" s="146"/>
      <c r="G3" s="146" t="str">
        <f>INDEX('Player Stats'!$B$5:$B$12,MATCH(MAX('Player Stats'!$I$5:$I$12),'Player Stats'!$I$5:$I$12,0))</f>
        <v>Steve Wells</v>
      </c>
      <c r="H3" s="159">
        <f>MAX('Player Stats'!$I$5:$I$12)</f>
        <v>0.66666666666666663</v>
      </c>
      <c r="I3" s="146" t="str">
        <f>TEXT(H3,"0.0%")&amp;""</f>
        <v>66.7%</v>
      </c>
      <c r="J3" s="146"/>
      <c r="K3" s="146" t="s">
        <v>300</v>
      </c>
      <c r="L3" s="146">
        <v>20</v>
      </c>
      <c r="N3" s="160" t="str">
        <f>'Player Stats'!B6</f>
        <v>Kevin Catliff</v>
      </c>
      <c r="O3" s="160">
        <f>COUNTIF('Feed - Tournaments'!$O$2:$O$7,N3)</f>
        <v>1</v>
      </c>
      <c r="P3" s="160"/>
      <c r="Q3" s="160"/>
      <c r="R3" s="160"/>
      <c r="S3" s="160"/>
      <c r="T3" s="160"/>
      <c r="U3" s="160"/>
      <c r="V3" s="160"/>
      <c r="W3" s="160"/>
      <c r="X3" s="160"/>
      <c r="Y3" s="160"/>
      <c r="Z3" s="160"/>
      <c r="AA3" s="160"/>
      <c r="AB3" s="160"/>
    </row>
    <row r="4" spans="1:28">
      <c r="A4" s="146" t="s">
        <v>301</v>
      </c>
      <c r="B4" s="146" t="s">
        <v>294</v>
      </c>
      <c r="C4" s="146" t="s">
        <v>302</v>
      </c>
      <c r="D4" s="146" t="s">
        <v>296</v>
      </c>
      <c r="E4" s="146" t="str">
        <f>INDEX('Player Stats'!$A$5:$A$12,MATCH(MAX('Player Stats'!$F$5:$F$12),'Player Stats'!$F$5:$F$12,0))</f>
        <v>red-dylan</v>
      </c>
      <c r="F4" s="146"/>
      <c r="G4" s="146" t="str">
        <f>INDEX('Player Stats'!$B$5:$B$12,MATCH(MAX('Player Stats'!$F$5:$F$12),'Player Stats'!$F$5:$F$12,0))</f>
        <v>Dylan Bradley</v>
      </c>
      <c r="H4" s="147">
        <f>MAX('Player Stats'!$F$5:$F$12)</f>
        <v>11</v>
      </c>
      <c r="I4" s="146" t="str">
        <f>TEXT(H4,"0")&amp;" losses"</f>
        <v>11 losses</v>
      </c>
      <c r="J4" s="146"/>
      <c r="K4" s="146" t="s">
        <v>303</v>
      </c>
      <c r="L4" s="146">
        <v>30</v>
      </c>
      <c r="N4" s="160" t="str">
        <f>'Player Stats'!B7</f>
        <v>Sean Bromley</v>
      </c>
      <c r="O4" s="160">
        <f>COUNTIF('Feed - Tournaments'!$O$2:$O$7,N4)</f>
        <v>0</v>
      </c>
      <c r="P4" s="160"/>
      <c r="Q4" s="160"/>
      <c r="R4" s="160"/>
      <c r="S4" s="160"/>
      <c r="T4" s="160"/>
      <c r="U4" s="160"/>
      <c r="V4" s="160"/>
      <c r="W4" s="160"/>
      <c r="X4" s="160"/>
      <c r="Y4" s="160"/>
      <c r="Z4" s="160"/>
      <c r="AA4" s="160"/>
      <c r="AB4" s="160"/>
    </row>
    <row r="5" spans="1:28">
      <c r="A5" s="146" t="s">
        <v>304</v>
      </c>
      <c r="B5" s="146" t="s">
        <v>294</v>
      </c>
      <c r="C5" s="146" t="s">
        <v>305</v>
      </c>
      <c r="D5" s="146" t="s">
        <v>296</v>
      </c>
      <c r="E5" s="146" t="str">
        <f>INDEX('Player Stats'!$A$5:$A$12,MATCH(MAX('Player Stats'!$G$5:$G$12),'Player Stats'!$G$5:$G$12,0))</f>
        <v>navy-jj</v>
      </c>
      <c r="F5" s="146"/>
      <c r="G5" s="146" t="str">
        <f>INDEX('Player Stats'!$B$5:$B$12,MATCH(MAX('Player Stats'!$G$5:$G$12),'Player Stats'!$G$5:$G$12,0))</f>
        <v>JJ Meakings</v>
      </c>
      <c r="H5" s="147">
        <f>MAX('Player Stats'!$G$5:$G$12)</f>
        <v>2</v>
      </c>
      <c r="I5" s="146" t="str">
        <f>TEXT(H5,"0")&amp;" ties"</f>
        <v>2 ties</v>
      </c>
      <c r="J5" s="146"/>
      <c r="K5" s="146" t="s">
        <v>306</v>
      </c>
      <c r="L5" s="146">
        <v>40</v>
      </c>
      <c r="N5" s="160" t="str">
        <f>'Player Stats'!B8</f>
        <v>Dylan Bradley</v>
      </c>
      <c r="O5" s="160">
        <f>COUNTIF('Feed - Tournaments'!$O$2:$O$7,N5)</f>
        <v>1</v>
      </c>
      <c r="P5" s="160"/>
      <c r="Q5" s="160"/>
      <c r="R5" s="160"/>
      <c r="S5" s="160"/>
      <c r="T5" s="160"/>
      <c r="U5" s="160"/>
      <c r="V5" s="160"/>
      <c r="W5" s="160"/>
      <c r="X5" s="160"/>
      <c r="Y5" s="160"/>
      <c r="Z5" s="160"/>
      <c r="AA5" s="160"/>
      <c r="AB5" s="160"/>
    </row>
    <row r="6" spans="1:28">
      <c r="A6" s="146" t="s">
        <v>307</v>
      </c>
      <c r="B6" s="146" t="s">
        <v>308</v>
      </c>
      <c r="C6" s="146" t="s">
        <v>309</v>
      </c>
      <c r="D6" s="146" t="s">
        <v>308</v>
      </c>
      <c r="E6" s="146"/>
      <c r="F6" s="146" t="str">
        <f>IF(COUNTIF('Feed - Tournaments'!$K$2:$K$7,"navy")&gt;=COUNTIF('Feed - Tournaments'!$K$2:$K$7,"red"),"navy","red")</f>
        <v>navy</v>
      </c>
      <c r="G6" s="146" t="str">
        <f>PROPER(F6)</f>
        <v>Navy</v>
      </c>
      <c r="H6" s="147">
        <f>MAX(COUNTIF('Feed - Tournaments'!$K$2:$K$7,"navy"),COUNTIF('Feed - Tournaments'!$K$2:$K$7,"red"))</f>
        <v>3</v>
      </c>
      <c r="I6" s="146" t="str">
        <f>TEXT(H6,"0")&amp;" titles"</f>
        <v>3 titles</v>
      </c>
      <c r="J6" s="146"/>
      <c r="K6" s="146" t="s">
        <v>310</v>
      </c>
      <c r="L6" s="146">
        <v>50</v>
      </c>
      <c r="N6" s="160" t="str">
        <f>'Player Stats'!B9</f>
        <v>Eric Bleim</v>
      </c>
      <c r="O6" s="160">
        <f>COUNTIF('Feed - Tournaments'!$O$2:$O$7,N6)</f>
        <v>2</v>
      </c>
      <c r="P6" s="160"/>
      <c r="Q6" s="160"/>
      <c r="R6" s="160"/>
      <c r="S6" s="160"/>
      <c r="T6" s="160"/>
      <c r="U6" s="160"/>
      <c r="V6" s="160"/>
      <c r="W6" s="160"/>
      <c r="X6" s="160"/>
      <c r="Y6" s="160"/>
      <c r="Z6" s="160"/>
      <c r="AA6" s="160"/>
      <c r="AB6" s="160"/>
    </row>
    <row r="7" spans="1:28">
      <c r="A7" s="146" t="s">
        <v>311</v>
      </c>
      <c r="B7" s="146" t="s">
        <v>312</v>
      </c>
      <c r="C7" s="146" t="s">
        <v>313</v>
      </c>
      <c r="D7" s="146" t="s">
        <v>296</v>
      </c>
      <c r="E7" s="146" t="str">
        <f>INDEX('Player Stats'!$A$5:$A$12,MATCH(MAX($O$2:$O$9),$O$2:$O$9,0))</f>
        <v>navy-eric</v>
      </c>
      <c r="F7" s="146"/>
      <c r="G7" s="146" t="str">
        <f>INDEX($N$2:$N$9,MATCH(MAX($O$2:$O$9),$O$2:$O$9,0))</f>
        <v>Eric Bleim</v>
      </c>
      <c r="H7" s="147">
        <f>MAX($O$2:$O$9)</f>
        <v>2</v>
      </c>
      <c r="I7" s="146" t="str">
        <f>TEXT(H7,"0")&amp;" captain victories"</f>
        <v>2 captain victories</v>
      </c>
      <c r="J7" s="146"/>
      <c r="K7" s="146" t="s">
        <v>314</v>
      </c>
      <c r="L7" s="146">
        <v>60</v>
      </c>
      <c r="N7" s="160" t="str">
        <f>'Player Stats'!B10</f>
        <v>George Collister</v>
      </c>
      <c r="O7" s="160">
        <f>COUNTIF('Feed - Tournaments'!$O$2:$O$7,N7)</f>
        <v>0</v>
      </c>
      <c r="P7" s="160"/>
      <c r="Q7" s="160"/>
      <c r="R7" s="160"/>
      <c r="S7" s="160"/>
      <c r="T7" s="160"/>
      <c r="U7" s="160"/>
      <c r="V7" s="160"/>
      <c r="W7" s="160"/>
      <c r="X7" s="160"/>
      <c r="Y7" s="160"/>
      <c r="Z7" s="160"/>
      <c r="AA7" s="160"/>
      <c r="AB7" s="160"/>
    </row>
    <row r="8" spans="1:28">
      <c r="A8" s="146" t="s">
        <v>315</v>
      </c>
      <c r="B8" s="146" t="s">
        <v>222</v>
      </c>
      <c r="C8" s="146" t="s">
        <v>316</v>
      </c>
      <c r="D8" s="146" t="s">
        <v>296</v>
      </c>
      <c r="E8" s="146" t="str">
        <f>INDEX($N$13:$N$20,MATCH(MAX($Q$13:$Q$20),$Q$13:$Q$20,0))</f>
        <v>red-sam</v>
      </c>
      <c r="F8" s="146" t="str">
        <f>INDEX($P$13:$P$20,MATCH(MAX($Q$13:$Q$20),$Q$13:$Q$20,0))</f>
        <v>red</v>
      </c>
      <c r="G8" s="146" t="str">
        <f>INDEX($O$13:$O$20,MATCH(MAX($Q$13:$Q$20),$Q$13:$Q$20,0))</f>
        <v>Sam Griffiths</v>
      </c>
      <c r="H8" s="147">
        <f>MAX($Q$13:$Q$20)</f>
        <v>3</v>
      </c>
      <c r="I8" s="146" t="str">
        <f>TEXT(H8,"0")&amp;" wins"</f>
        <v>3 wins</v>
      </c>
      <c r="J8" s="146"/>
      <c r="K8" s="146" t="s">
        <v>317</v>
      </c>
      <c r="L8" s="146">
        <v>70</v>
      </c>
      <c r="N8" s="160" t="str">
        <f>'Player Stats'!B11</f>
        <v>Steve Wells</v>
      </c>
      <c r="O8" s="160">
        <f>COUNTIF('Feed - Tournaments'!$O$2:$O$7,N8)</f>
        <v>0</v>
      </c>
      <c r="P8" s="160"/>
      <c r="Q8" s="160"/>
      <c r="R8" s="160"/>
      <c r="S8" s="160"/>
      <c r="T8" s="160"/>
      <c r="U8" s="160"/>
      <c r="V8" s="160"/>
      <c r="W8" s="160"/>
      <c r="X8" s="160"/>
      <c r="Y8" s="160"/>
      <c r="Z8" s="160"/>
      <c r="AA8" s="160"/>
      <c r="AB8" s="160"/>
    </row>
    <row r="9" spans="1:28">
      <c r="A9" s="146" t="s">
        <v>318</v>
      </c>
      <c r="B9" s="146" t="s">
        <v>222</v>
      </c>
      <c r="C9" s="146" t="s">
        <v>319</v>
      </c>
      <c r="D9" s="146" t="s">
        <v>296</v>
      </c>
      <c r="E9" s="146" t="str">
        <f>INDEX($N$13:$N$20,MATCH(MAX($T$13:$T$20),$T$13:$T$20,0))</f>
        <v>red-sam</v>
      </c>
      <c r="F9" s="146" t="str">
        <f>INDEX($P$13:$P$20,MATCH(MAX($T$13:$T$20),$T$13:$T$20,0))</f>
        <v>red</v>
      </c>
      <c r="G9" s="146" t="str">
        <f>INDEX($O$13:$O$20,MATCH(MAX($T$13:$T$20),$T$13:$T$20,0))</f>
        <v>Sam Griffiths</v>
      </c>
      <c r="H9" s="159">
        <f>MAX($T$13:$T$20)</f>
        <v>0.7</v>
      </c>
      <c r="I9" s="146" t="str">
        <f>TEXT(H9,"0.0%")&amp;""</f>
        <v>70.0%</v>
      </c>
      <c r="J9" s="146"/>
      <c r="K9" s="146" t="s">
        <v>320</v>
      </c>
      <c r="L9" s="146">
        <v>80</v>
      </c>
      <c r="N9" s="160" t="str">
        <f>'Player Stats'!B12</f>
        <v>JJ Meakings</v>
      </c>
      <c r="O9" s="160">
        <f>COUNTIF('Feed - Tournaments'!$O$2:$O$7,N9)</f>
        <v>1</v>
      </c>
      <c r="P9" s="160"/>
      <c r="Q9" s="160"/>
      <c r="R9" s="160"/>
      <c r="S9" s="160"/>
      <c r="T9" s="160"/>
      <c r="U9" s="160"/>
      <c r="V9" s="160"/>
      <c r="W9" s="160"/>
      <c r="X9" s="160"/>
      <c r="Y9" s="160"/>
      <c r="Z9" s="160"/>
      <c r="AA9" s="160"/>
      <c r="AB9" s="160"/>
    </row>
    <row r="10" spans="1:28">
      <c r="A10" s="146" t="s">
        <v>321</v>
      </c>
      <c r="B10" s="146" t="s">
        <v>222</v>
      </c>
      <c r="C10" s="146" t="s">
        <v>322</v>
      </c>
      <c r="D10" s="146" t="s">
        <v>296</v>
      </c>
      <c r="E10" s="146" t="str">
        <f>INDEX($N$13:$N$20,MATCH(MAX($U$13:$U$20),$U$13:$U$20,0))</f>
        <v>red-sam</v>
      </c>
      <c r="F10" s="146" t="str">
        <f>INDEX($P$13:$P$20,MATCH(MAX($U$13:$U$20),$U$13:$U$20,0))</f>
        <v>red</v>
      </c>
      <c r="G10" s="146" t="str">
        <f>INDEX($O$13:$O$20,MATCH(MAX($U$13:$U$20),$U$13:$U$20,0))</f>
        <v>Sam Griffiths</v>
      </c>
      <c r="H10" s="147">
        <f>MAX($U$13:$U$20)</f>
        <v>3</v>
      </c>
      <c r="I10" s="146" t="str">
        <f>TEXT(H10,"0")&amp;" wins"</f>
        <v>3 wins</v>
      </c>
      <c r="J10" s="146"/>
      <c r="K10" s="146" t="s">
        <v>323</v>
      </c>
      <c r="L10" s="146">
        <v>90</v>
      </c>
      <c r="N10" s="160"/>
      <c r="O10" s="160"/>
      <c r="P10" s="160"/>
      <c r="Q10" s="160"/>
      <c r="R10" s="160"/>
      <c r="S10" s="160"/>
      <c r="T10" s="160"/>
      <c r="U10" s="160"/>
      <c r="V10" s="160"/>
      <c r="W10" s="160"/>
      <c r="X10" s="160"/>
      <c r="Y10" s="160"/>
      <c r="Z10" s="160"/>
      <c r="AA10" s="160"/>
      <c r="AB10" s="160"/>
    </row>
    <row r="11" spans="1:28">
      <c r="A11" s="146" t="s">
        <v>324</v>
      </c>
      <c r="B11" s="146" t="s">
        <v>222</v>
      </c>
      <c r="C11" s="146" t="s">
        <v>325</v>
      </c>
      <c r="D11" s="146" t="s">
        <v>296</v>
      </c>
      <c r="E11" s="146" t="str">
        <f>INDEX($N$13:$N$20,MATCH(MAX($X$13:$X$20),$X$13:$X$20,0))</f>
        <v>red-sam</v>
      </c>
      <c r="F11" s="146" t="str">
        <f>INDEX($P$13:$P$20,MATCH(MAX($X$13:$X$20),$X$13:$X$20,0))</f>
        <v>red</v>
      </c>
      <c r="G11" s="146" t="str">
        <f>INDEX($O$13:$O$20,MATCH(MAX($X$13:$X$20),$X$13:$X$20,0))</f>
        <v>Sam Griffiths</v>
      </c>
      <c r="H11" s="159">
        <f>MAX($X$13:$X$20)</f>
        <v>0.6</v>
      </c>
      <c r="I11" s="146" t="str">
        <f>TEXT(H11,"0.0%")&amp;""</f>
        <v>60.0%</v>
      </c>
      <c r="J11" s="146"/>
      <c r="K11" s="146" t="s">
        <v>326</v>
      </c>
      <c r="L11" s="146">
        <v>100</v>
      </c>
      <c r="N11" s="160"/>
      <c r="O11" s="160"/>
      <c r="P11" s="160"/>
      <c r="Q11" s="160"/>
      <c r="R11" s="160"/>
      <c r="S11" s="160"/>
      <c r="T11" s="160"/>
      <c r="U11" s="160"/>
      <c r="V11" s="160"/>
      <c r="W11" s="160"/>
      <c r="X11" s="160"/>
      <c r="Y11" s="160"/>
      <c r="Z11" s="160"/>
      <c r="AA11" s="160"/>
      <c r="AB11" s="160"/>
    </row>
    <row r="12" spans="1:28">
      <c r="A12" s="146" t="s">
        <v>327</v>
      </c>
      <c r="B12" s="146" t="s">
        <v>222</v>
      </c>
      <c r="C12" s="146" t="s">
        <v>328</v>
      </c>
      <c r="D12" s="146" t="s">
        <v>296</v>
      </c>
      <c r="E12" s="146" t="str">
        <f>INDEX($N$13:$N$20,MATCH(MAX($Y$13:$Y$20),$Y$13:$Y$20,0))</f>
        <v>navy-steven</v>
      </c>
      <c r="F12" s="146" t="str">
        <f>INDEX($P$13:$P$20,MATCH(MAX($Y$13:$Y$20),$Y$13:$Y$20,0))</f>
        <v>navy</v>
      </c>
      <c r="G12" s="146" t="str">
        <f>INDEX($O$13:$O$20,MATCH(MAX($Y$13:$Y$20),$Y$13:$Y$20,0))</f>
        <v>Steve Wells</v>
      </c>
      <c r="H12" s="147">
        <f>MAX($Y$13:$Y$20)</f>
        <v>3</v>
      </c>
      <c r="I12" s="146" t="str">
        <f>TEXT(H12,"0")&amp;" wins"</f>
        <v>3 wins</v>
      </c>
      <c r="J12" s="146"/>
      <c r="K12" s="146" t="s">
        <v>329</v>
      </c>
      <c r="L12" s="146">
        <v>110</v>
      </c>
      <c r="N12" s="161" t="s">
        <v>235</v>
      </c>
      <c r="O12" s="161" t="s">
        <v>330</v>
      </c>
      <c r="P12" s="161" t="s">
        <v>239</v>
      </c>
      <c r="Q12" s="161" t="s">
        <v>331</v>
      </c>
      <c r="R12" s="161" t="s">
        <v>332</v>
      </c>
      <c r="S12" s="161" t="s">
        <v>333</v>
      </c>
      <c r="T12" s="161" t="s">
        <v>334</v>
      </c>
      <c r="U12" s="161" t="s">
        <v>335</v>
      </c>
      <c r="V12" s="161" t="s">
        <v>336</v>
      </c>
      <c r="W12" s="161" t="s">
        <v>337</v>
      </c>
      <c r="X12" s="161" t="s">
        <v>338</v>
      </c>
      <c r="Y12" s="161" t="s">
        <v>339</v>
      </c>
      <c r="Z12" s="161" t="s">
        <v>340</v>
      </c>
      <c r="AA12" s="161" t="s">
        <v>341</v>
      </c>
      <c r="AB12" s="161" t="s">
        <v>342</v>
      </c>
    </row>
    <row r="13" spans="1:28">
      <c r="A13" s="146" t="s">
        <v>343</v>
      </c>
      <c r="B13" s="146" t="s">
        <v>222</v>
      </c>
      <c r="C13" s="146" t="s">
        <v>344</v>
      </c>
      <c r="D13" s="146" t="s">
        <v>296</v>
      </c>
      <c r="E13" s="146" t="str">
        <f>INDEX($N$13:$N$20,MATCH(MAX($AB$13:$AB$20),$AB$13:$AB$20,0))</f>
        <v>navy-steven</v>
      </c>
      <c r="F13" s="146" t="str">
        <f>INDEX($P$13:$P$20,MATCH(MAX($AB$13:$AB$20),$AB$13:$AB$20,0))</f>
        <v>navy</v>
      </c>
      <c r="G13" s="146" t="str">
        <f>INDEX($O$13:$O$20,MATCH(MAX($AB$13:$AB$20),$AB$13:$AB$20,0))</f>
        <v>Steve Wells</v>
      </c>
      <c r="H13" s="159">
        <f>MAX($AB$13:$AB$20)</f>
        <v>0.75</v>
      </c>
      <c r="I13" s="146" t="str">
        <f>TEXT(H13,"0.0%")&amp;""</f>
        <v>75.0%</v>
      </c>
      <c r="J13" s="146"/>
      <c r="K13" s="146" t="s">
        <v>345</v>
      </c>
      <c r="L13" s="146">
        <v>120</v>
      </c>
      <c r="N13" s="160" t="str">
        <f>'Player Stats'!A5</f>
        <v>red-sam</v>
      </c>
      <c r="O13" s="160" t="str">
        <f>'Player Stats'!B5</f>
        <v>Sam Griffiths</v>
      </c>
      <c r="P13" s="160" t="str">
        <f>LOWER('Player Stats'!C5)</f>
        <v>red</v>
      </c>
      <c r="Q13" s="160">
        <f>COUNTIFS('Record Book'!$C$29:$C$196,"Singles",'Record Book'!$E$29:$E$196,$O13,'Record Book'!$I$29:$I$196,"W")</f>
        <v>3</v>
      </c>
      <c r="R13" s="160">
        <f>COUNTIFS('Record Book'!$C$29:$C$196,"Singles",'Record Book'!$E$29:$E$196,$O13,'Record Book'!$I$29:$I$196,"L")</f>
        <v>1</v>
      </c>
      <c r="S13" s="160">
        <f>COUNTIFS('Record Book'!$C$29:$C$196,"Singles",'Record Book'!$E$29:$E$196,$O13,'Record Book'!$I$29:$I$196,"T")</f>
        <v>1</v>
      </c>
      <c r="T13" s="160">
        <f t="shared" ref="T13:T20" si="0">IF(SUM(Q13:S13)=0,0,(Q13+0.5*S13)/SUM(Q13:S13))</f>
        <v>0.7</v>
      </c>
      <c r="U13" s="160">
        <f>COUNTIFS('Record Book'!$C$29:$C$196,"Fourball",'Record Book'!$E$29:$E$196,$O13,'Record Book'!$I$29:$I$196,"W")</f>
        <v>3</v>
      </c>
      <c r="V13" s="160">
        <f>COUNTIFS('Record Book'!$C$29:$C$196,"Fourball",'Record Book'!$E$29:$E$196,$O13,'Record Book'!$I$29:$I$196,"L")</f>
        <v>2</v>
      </c>
      <c r="W13" s="160">
        <f>COUNTIFS('Record Book'!$C$29:$C$196,"Fourball",'Record Book'!$E$29:$E$196,$O13,'Record Book'!$I$29:$I$196,"T")</f>
        <v>0</v>
      </c>
      <c r="X13" s="160">
        <f t="shared" ref="X13:X20" si="1">IF(SUM(U13:W13)=0,0,(U13+0.5*W13)/SUM(U13:W13))</f>
        <v>0.6</v>
      </c>
      <c r="Y13" s="160">
        <f>COUNTIFS('Record Book'!$C$29:$C$196,"Scramble",'Record Book'!$E$29:$E$196,$O13,'Record Book'!$I$29:$I$196,"W")</f>
        <v>2</v>
      </c>
      <c r="Z13" s="160">
        <f>COUNTIFS('Record Book'!$C$29:$C$196,"Scramble",'Record Book'!$E$29:$E$196,$O13,'Record Book'!$I$29:$I$196,"L")</f>
        <v>2</v>
      </c>
      <c r="AA13" s="160">
        <f>COUNTIFS('Record Book'!$C$29:$C$196,"Scramble",'Record Book'!$E$29:$E$196,$O13,'Record Book'!$I$29:$I$196,"T")</f>
        <v>0</v>
      </c>
      <c r="AB13" s="160">
        <f t="shared" ref="AB13:AB20" si="2">IF(SUM(Y13:AA13)=0,0,(Y13+0.5*AA13)/SUM(Y13:AA13))</f>
        <v>0.5</v>
      </c>
    </row>
    <row r="14" spans="1:28">
      <c r="N14" s="160" t="str">
        <f>'Player Stats'!A6</f>
        <v>red-kevin</v>
      </c>
      <c r="O14" s="160" t="str">
        <f>'Player Stats'!B6</f>
        <v>Kevin Catliff</v>
      </c>
      <c r="P14" s="160" t="str">
        <f>LOWER('Player Stats'!C6)</f>
        <v>red</v>
      </c>
      <c r="Q14" s="160">
        <f>COUNTIFS('Record Book'!$C$29:$C$196,"Singles",'Record Book'!$E$29:$E$196,$O14,'Record Book'!$I$29:$I$196,"W")</f>
        <v>3</v>
      </c>
      <c r="R14" s="160">
        <f>COUNTIFS('Record Book'!$C$29:$C$196,"Singles",'Record Book'!$E$29:$E$196,$O14,'Record Book'!$I$29:$I$196,"L")</f>
        <v>1</v>
      </c>
      <c r="S14" s="160">
        <f>COUNTIFS('Record Book'!$C$29:$C$196,"Singles",'Record Book'!$E$29:$E$196,$O14,'Record Book'!$I$29:$I$196,"T")</f>
        <v>1</v>
      </c>
      <c r="T14" s="160">
        <f t="shared" si="0"/>
        <v>0.7</v>
      </c>
      <c r="U14" s="160">
        <f>COUNTIFS('Record Book'!$C$29:$C$196,"Fourball",'Record Book'!$E$29:$E$196,$O14,'Record Book'!$I$29:$I$196,"W")</f>
        <v>1</v>
      </c>
      <c r="V14" s="160">
        <f>COUNTIFS('Record Book'!$C$29:$C$196,"Fourball",'Record Book'!$E$29:$E$196,$O14,'Record Book'!$I$29:$I$196,"L")</f>
        <v>4</v>
      </c>
      <c r="W14" s="160">
        <f>COUNTIFS('Record Book'!$C$29:$C$196,"Fourball",'Record Book'!$E$29:$E$196,$O14,'Record Book'!$I$29:$I$196,"T")</f>
        <v>0</v>
      </c>
      <c r="X14" s="160">
        <f t="shared" si="1"/>
        <v>0.2</v>
      </c>
      <c r="Y14" s="160">
        <f>COUNTIFS('Record Book'!$C$29:$C$196,"Scramble",'Record Book'!$E$29:$E$196,$O14,'Record Book'!$I$29:$I$196,"W")</f>
        <v>2</v>
      </c>
      <c r="Z14" s="160">
        <f>COUNTIFS('Record Book'!$C$29:$C$196,"Scramble",'Record Book'!$E$29:$E$196,$O14,'Record Book'!$I$29:$I$196,"L")</f>
        <v>2</v>
      </c>
      <c r="AA14" s="160">
        <f>COUNTIFS('Record Book'!$C$29:$C$196,"Scramble",'Record Book'!$E$29:$E$196,$O14,'Record Book'!$I$29:$I$196,"T")</f>
        <v>0</v>
      </c>
      <c r="AB14" s="160">
        <f t="shared" si="2"/>
        <v>0.5</v>
      </c>
    </row>
    <row r="15" spans="1:28">
      <c r="N15" s="160" t="str">
        <f>'Player Stats'!A7</f>
        <v>red-sean</v>
      </c>
      <c r="O15" s="160" t="str">
        <f>'Player Stats'!B7</f>
        <v>Sean Bromley</v>
      </c>
      <c r="P15" s="160" t="str">
        <f>LOWER('Player Stats'!C7)</f>
        <v>red</v>
      </c>
      <c r="Q15" s="160">
        <f>COUNTIFS('Record Book'!$C$29:$C$196,"Singles",'Record Book'!$E$29:$E$196,$O15,'Record Book'!$I$29:$I$196,"W")</f>
        <v>1</v>
      </c>
      <c r="R15" s="160">
        <f>COUNTIFS('Record Book'!$C$29:$C$196,"Singles",'Record Book'!$E$29:$E$196,$O15,'Record Book'!$I$29:$I$196,"L")</f>
        <v>4</v>
      </c>
      <c r="S15" s="160">
        <f>COUNTIFS('Record Book'!$C$29:$C$196,"Singles",'Record Book'!$E$29:$E$196,$O15,'Record Book'!$I$29:$I$196,"T")</f>
        <v>0</v>
      </c>
      <c r="T15" s="160">
        <f t="shared" si="0"/>
        <v>0.2</v>
      </c>
      <c r="U15" s="160">
        <f>COUNTIFS('Record Book'!$C$29:$C$196,"Fourball",'Record Book'!$E$29:$E$196,$O15,'Record Book'!$I$29:$I$196,"W")</f>
        <v>2</v>
      </c>
      <c r="V15" s="160">
        <f>COUNTIFS('Record Book'!$C$29:$C$196,"Fourball",'Record Book'!$E$29:$E$196,$O15,'Record Book'!$I$29:$I$196,"L")</f>
        <v>3</v>
      </c>
      <c r="W15" s="160">
        <f>COUNTIFS('Record Book'!$C$29:$C$196,"Fourball",'Record Book'!$E$29:$E$196,$O15,'Record Book'!$I$29:$I$196,"T")</f>
        <v>0</v>
      </c>
      <c r="X15" s="160">
        <f t="shared" si="1"/>
        <v>0.4</v>
      </c>
      <c r="Y15" s="160">
        <f>COUNTIFS('Record Book'!$C$29:$C$196,"Scramble",'Record Book'!$E$29:$E$196,$O15,'Record Book'!$I$29:$I$196,"W")</f>
        <v>2</v>
      </c>
      <c r="Z15" s="160">
        <f>COUNTIFS('Record Book'!$C$29:$C$196,"Scramble",'Record Book'!$E$29:$E$196,$O15,'Record Book'!$I$29:$I$196,"L")</f>
        <v>2</v>
      </c>
      <c r="AA15" s="160">
        <f>COUNTIFS('Record Book'!$C$29:$C$196,"Scramble",'Record Book'!$E$29:$E$196,$O15,'Record Book'!$I$29:$I$196,"T")</f>
        <v>0</v>
      </c>
      <c r="AB15" s="160">
        <f t="shared" si="2"/>
        <v>0.5</v>
      </c>
    </row>
    <row r="16" spans="1:28">
      <c r="N16" s="160" t="str">
        <f>'Player Stats'!A8</f>
        <v>red-dylan</v>
      </c>
      <c r="O16" s="160" t="str">
        <f>'Player Stats'!B8</f>
        <v>Dylan Bradley</v>
      </c>
      <c r="P16" s="160" t="str">
        <f>LOWER('Player Stats'!C8)</f>
        <v>red</v>
      </c>
      <c r="Q16" s="160">
        <f>COUNTIFS('Record Book'!$C$29:$C$196,"Singles",'Record Book'!$E$29:$E$196,$O16,'Record Book'!$I$29:$I$196,"W")</f>
        <v>2</v>
      </c>
      <c r="R16" s="160">
        <f>COUNTIFS('Record Book'!$C$29:$C$196,"Singles",'Record Book'!$E$29:$E$196,$O16,'Record Book'!$I$29:$I$196,"L")</f>
        <v>3</v>
      </c>
      <c r="S16" s="160">
        <f>COUNTIFS('Record Book'!$C$29:$C$196,"Singles",'Record Book'!$E$29:$E$196,$O16,'Record Book'!$I$29:$I$196,"T")</f>
        <v>0</v>
      </c>
      <c r="T16" s="160">
        <f t="shared" si="0"/>
        <v>0.4</v>
      </c>
      <c r="U16" s="160">
        <f>COUNTIFS('Record Book'!$C$29:$C$196,"Fourball",'Record Book'!$E$29:$E$196,$O16,'Record Book'!$I$29:$I$196,"W")</f>
        <v>2</v>
      </c>
      <c r="V16" s="160">
        <f>COUNTIFS('Record Book'!$C$29:$C$196,"Fourball",'Record Book'!$E$29:$E$196,$O16,'Record Book'!$I$29:$I$196,"L")</f>
        <v>3</v>
      </c>
      <c r="W16" s="160">
        <f>COUNTIFS('Record Book'!$C$29:$C$196,"Fourball",'Record Book'!$E$29:$E$196,$O16,'Record Book'!$I$29:$I$196,"T")</f>
        <v>0</v>
      </c>
      <c r="X16" s="160">
        <f t="shared" si="1"/>
        <v>0.4</v>
      </c>
      <c r="Y16" s="160">
        <f>COUNTIFS('Record Book'!$C$29:$C$196,"Scramble",'Record Book'!$E$29:$E$196,$O16,'Record Book'!$I$29:$I$196,"W")</f>
        <v>0</v>
      </c>
      <c r="Z16" s="160">
        <f>COUNTIFS('Record Book'!$C$29:$C$196,"Scramble",'Record Book'!$E$29:$E$196,$O16,'Record Book'!$I$29:$I$196,"L")</f>
        <v>4</v>
      </c>
      <c r="AA16" s="160">
        <f>COUNTIFS('Record Book'!$C$29:$C$196,"Scramble",'Record Book'!$E$29:$E$196,$O16,'Record Book'!$I$29:$I$196,"T")</f>
        <v>0</v>
      </c>
      <c r="AB16" s="160">
        <f t="shared" si="2"/>
        <v>0</v>
      </c>
    </row>
    <row r="17" spans="14:28">
      <c r="N17" s="160" t="str">
        <f>'Player Stats'!A9</f>
        <v>navy-eric</v>
      </c>
      <c r="O17" s="160" t="str">
        <f>'Player Stats'!B9</f>
        <v>Eric Bleim</v>
      </c>
      <c r="P17" s="160" t="str">
        <f>LOWER('Player Stats'!C9)</f>
        <v>navy</v>
      </c>
      <c r="Q17" s="160">
        <f>COUNTIFS('Record Book'!$C$29:$C$196,"Singles",'Record Book'!$E$29:$E$196,$O17,'Record Book'!$I$29:$I$196,"W")</f>
        <v>2</v>
      </c>
      <c r="R17" s="160">
        <f>COUNTIFS('Record Book'!$C$29:$C$196,"Singles",'Record Book'!$E$29:$E$196,$O17,'Record Book'!$I$29:$I$196,"L")</f>
        <v>3</v>
      </c>
      <c r="S17" s="160">
        <f>COUNTIFS('Record Book'!$C$29:$C$196,"Singles",'Record Book'!$E$29:$E$196,$O17,'Record Book'!$I$29:$I$196,"T")</f>
        <v>0</v>
      </c>
      <c r="T17" s="160">
        <f t="shared" si="0"/>
        <v>0.4</v>
      </c>
      <c r="U17" s="160">
        <f>COUNTIFS('Record Book'!$C$29:$C$196,"Fourball",'Record Book'!$E$29:$E$196,$O17,'Record Book'!$I$29:$I$196,"W")</f>
        <v>3</v>
      </c>
      <c r="V17" s="160">
        <f>COUNTIFS('Record Book'!$C$29:$C$196,"Fourball",'Record Book'!$E$29:$E$196,$O17,'Record Book'!$I$29:$I$196,"L")</f>
        <v>2</v>
      </c>
      <c r="W17" s="160">
        <f>COUNTIFS('Record Book'!$C$29:$C$196,"Fourball",'Record Book'!$E$29:$E$196,$O17,'Record Book'!$I$29:$I$196,"T")</f>
        <v>0</v>
      </c>
      <c r="X17" s="160">
        <f t="shared" si="1"/>
        <v>0.6</v>
      </c>
      <c r="Y17" s="160">
        <f>COUNTIFS('Record Book'!$C$29:$C$196,"Scramble",'Record Book'!$E$29:$E$196,$O17,'Record Book'!$I$29:$I$196,"W")</f>
        <v>2</v>
      </c>
      <c r="Z17" s="160">
        <f>COUNTIFS('Record Book'!$C$29:$C$196,"Scramble",'Record Book'!$E$29:$E$196,$O17,'Record Book'!$I$29:$I$196,"L")</f>
        <v>2</v>
      </c>
      <c r="AA17" s="160">
        <f>COUNTIFS('Record Book'!$C$29:$C$196,"Scramble",'Record Book'!$E$29:$E$196,$O17,'Record Book'!$I$29:$I$196,"T")</f>
        <v>0</v>
      </c>
      <c r="AB17" s="160">
        <f t="shared" si="2"/>
        <v>0.5</v>
      </c>
    </row>
    <row r="18" spans="14:28">
      <c r="N18" s="160" t="str">
        <f>'Player Stats'!A10</f>
        <v>navy-george</v>
      </c>
      <c r="O18" s="160" t="str">
        <f>'Player Stats'!B10</f>
        <v>George Collister</v>
      </c>
      <c r="P18" s="160" t="str">
        <f>LOWER('Player Stats'!C10)</f>
        <v>navy</v>
      </c>
      <c r="Q18" s="160">
        <f>COUNTIFS('Record Book'!$C$29:$C$196,"Singles",'Record Book'!$E$29:$E$196,$O18,'Record Book'!$I$29:$I$196,"W")</f>
        <v>3</v>
      </c>
      <c r="R18" s="160">
        <f>COUNTIFS('Record Book'!$C$29:$C$196,"Singles",'Record Book'!$E$29:$E$196,$O18,'Record Book'!$I$29:$I$196,"L")</f>
        <v>2</v>
      </c>
      <c r="S18" s="160">
        <f>COUNTIFS('Record Book'!$C$29:$C$196,"Singles",'Record Book'!$E$29:$E$196,$O18,'Record Book'!$I$29:$I$196,"T")</f>
        <v>0</v>
      </c>
      <c r="T18" s="160">
        <f t="shared" si="0"/>
        <v>0.6</v>
      </c>
      <c r="U18" s="160">
        <f>COUNTIFS('Record Book'!$C$29:$C$196,"Fourball",'Record Book'!$E$29:$E$196,$O18,'Record Book'!$I$29:$I$196,"W")</f>
        <v>3</v>
      </c>
      <c r="V18" s="160">
        <f>COUNTIFS('Record Book'!$C$29:$C$196,"Fourball",'Record Book'!$E$29:$E$196,$O18,'Record Book'!$I$29:$I$196,"L")</f>
        <v>2</v>
      </c>
      <c r="W18" s="160">
        <f>COUNTIFS('Record Book'!$C$29:$C$196,"Fourball",'Record Book'!$E$29:$E$196,$O18,'Record Book'!$I$29:$I$196,"T")</f>
        <v>0</v>
      </c>
      <c r="X18" s="160">
        <f t="shared" si="1"/>
        <v>0.6</v>
      </c>
      <c r="Y18" s="160">
        <f>COUNTIFS('Record Book'!$C$29:$C$196,"Scramble",'Record Book'!$E$29:$E$196,$O18,'Record Book'!$I$29:$I$196,"W")</f>
        <v>2</v>
      </c>
      <c r="Z18" s="160">
        <f>COUNTIFS('Record Book'!$C$29:$C$196,"Scramble",'Record Book'!$E$29:$E$196,$O18,'Record Book'!$I$29:$I$196,"L")</f>
        <v>2</v>
      </c>
      <c r="AA18" s="160">
        <f>COUNTIFS('Record Book'!$C$29:$C$196,"Scramble",'Record Book'!$E$29:$E$196,$O18,'Record Book'!$I$29:$I$196,"T")</f>
        <v>0</v>
      </c>
      <c r="AB18" s="160">
        <f t="shared" si="2"/>
        <v>0.5</v>
      </c>
    </row>
    <row r="19" spans="14:28">
      <c r="N19" s="160" t="str">
        <f>'Player Stats'!A11</f>
        <v>navy-steven</v>
      </c>
      <c r="O19" s="160" t="str">
        <f>'Player Stats'!B11</f>
        <v>Steve Wells</v>
      </c>
      <c r="P19" s="160" t="str">
        <f>LOWER('Player Stats'!C11)</f>
        <v>navy</v>
      </c>
      <c r="Q19" s="160">
        <f>COUNTIFS('Record Book'!$C$29:$C$196,"Singles",'Record Book'!$E$29:$E$196,$O19,'Record Book'!$I$29:$I$196,"W")</f>
        <v>3</v>
      </c>
      <c r="R19" s="160">
        <f>COUNTIFS('Record Book'!$C$29:$C$196,"Singles",'Record Book'!$E$29:$E$196,$O19,'Record Book'!$I$29:$I$196,"L")</f>
        <v>2</v>
      </c>
      <c r="S19" s="160">
        <f>COUNTIFS('Record Book'!$C$29:$C$196,"Singles",'Record Book'!$E$29:$E$196,$O19,'Record Book'!$I$29:$I$196,"T")</f>
        <v>0</v>
      </c>
      <c r="T19" s="160">
        <f t="shared" si="0"/>
        <v>0.6</v>
      </c>
      <c r="U19" s="160">
        <f>COUNTIFS('Record Book'!$C$29:$C$196,"Fourball",'Record Book'!$E$29:$E$196,$O19,'Record Book'!$I$29:$I$196,"W")</f>
        <v>3</v>
      </c>
      <c r="V19" s="160">
        <f>COUNTIFS('Record Book'!$C$29:$C$196,"Fourball",'Record Book'!$E$29:$E$196,$O19,'Record Book'!$I$29:$I$196,"L")</f>
        <v>2</v>
      </c>
      <c r="W19" s="160">
        <f>COUNTIFS('Record Book'!$C$29:$C$196,"Fourball",'Record Book'!$E$29:$E$196,$O19,'Record Book'!$I$29:$I$196,"T")</f>
        <v>0</v>
      </c>
      <c r="X19" s="160">
        <f t="shared" si="1"/>
        <v>0.6</v>
      </c>
      <c r="Y19" s="160">
        <f>COUNTIFS('Record Book'!$C$29:$C$196,"Scramble",'Record Book'!$E$29:$E$196,$O19,'Record Book'!$I$29:$I$196,"W")</f>
        <v>3</v>
      </c>
      <c r="Z19" s="160">
        <f>COUNTIFS('Record Book'!$C$29:$C$196,"Scramble",'Record Book'!$E$29:$E$196,$O19,'Record Book'!$I$29:$I$196,"L")</f>
        <v>1</v>
      </c>
      <c r="AA19" s="160">
        <f>COUNTIFS('Record Book'!$C$29:$C$196,"Scramble",'Record Book'!$E$29:$E$196,$O19,'Record Book'!$I$29:$I$196,"T")</f>
        <v>0</v>
      </c>
      <c r="AB19" s="160">
        <f t="shared" si="2"/>
        <v>0.75</v>
      </c>
    </row>
    <row r="20" spans="14:28">
      <c r="N20" s="160" t="str">
        <f>'Player Stats'!A12</f>
        <v>navy-jj</v>
      </c>
      <c r="O20" s="160" t="str">
        <f>'Player Stats'!B12</f>
        <v>JJ Meakings</v>
      </c>
      <c r="P20" s="160" t="str">
        <f>LOWER('Player Stats'!C12)</f>
        <v>navy</v>
      </c>
      <c r="Q20" s="160">
        <f>COUNTIFS('Record Book'!$C$29:$C$196,"Singles",'Record Book'!$E$29:$E$196,$O20,'Record Book'!$I$29:$I$196,"W")</f>
        <v>1</v>
      </c>
      <c r="R20" s="160">
        <f>COUNTIFS('Record Book'!$C$29:$C$196,"Singles",'Record Book'!$E$29:$E$196,$O20,'Record Book'!$I$29:$I$196,"L")</f>
        <v>2</v>
      </c>
      <c r="S20" s="160">
        <f>COUNTIFS('Record Book'!$C$29:$C$196,"Singles",'Record Book'!$E$29:$E$196,$O20,'Record Book'!$I$29:$I$196,"T")</f>
        <v>2</v>
      </c>
      <c r="T20" s="160">
        <f t="shared" si="0"/>
        <v>0.4</v>
      </c>
      <c r="U20" s="160">
        <f>COUNTIFS('Record Book'!$C$29:$C$196,"Fourball",'Record Book'!$E$29:$E$196,$O20,'Record Book'!$I$29:$I$196,"W")</f>
        <v>3</v>
      </c>
      <c r="V20" s="160">
        <f>COUNTIFS('Record Book'!$C$29:$C$196,"Fourball",'Record Book'!$E$29:$E$196,$O20,'Record Book'!$I$29:$I$196,"L")</f>
        <v>2</v>
      </c>
      <c r="W20" s="160">
        <f>COUNTIFS('Record Book'!$C$29:$C$196,"Fourball",'Record Book'!$E$29:$E$196,$O20,'Record Book'!$I$29:$I$196,"T")</f>
        <v>0</v>
      </c>
      <c r="X20" s="160">
        <f t="shared" si="1"/>
        <v>0.6</v>
      </c>
      <c r="Y20" s="160">
        <f>COUNTIFS('Record Book'!$C$29:$C$196,"Scramble",'Record Book'!$E$29:$E$196,$O20,'Record Book'!$I$29:$I$196,"W")</f>
        <v>3</v>
      </c>
      <c r="Z20" s="160">
        <f>COUNTIFS('Record Book'!$C$29:$C$196,"Scramble",'Record Book'!$E$29:$E$196,$O20,'Record Book'!$I$29:$I$196,"L")</f>
        <v>1</v>
      </c>
      <c r="AA20" s="160">
        <f>COUNTIFS('Record Book'!$C$29:$C$196,"Scramble",'Record Book'!$E$29:$E$196,$O20,'Record Book'!$I$29:$I$196,"T")</f>
        <v>0</v>
      </c>
      <c r="AB20" s="160">
        <f t="shared" si="2"/>
        <v>0.75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2"/>
  <sheetViews>
    <sheetView workbookViewId="0"/>
  </sheetViews>
  <sheetFormatPr defaultRowHeight="12.75"/>
  <cols>
    <col min="1" max="1" width="28" customWidth="1"/>
    <col min="2" max="2" width="24" customWidth="1"/>
    <col min="3" max="3" width="52" customWidth="1"/>
  </cols>
  <sheetData>
    <row r="1" spans="1:3">
      <c r="A1" s="154" t="s">
        <v>346</v>
      </c>
      <c r="B1" s="154" t="s">
        <v>347</v>
      </c>
      <c r="C1" s="154" t="s">
        <v>289</v>
      </c>
    </row>
    <row r="2" spans="1:3">
      <c r="A2" s="146" t="s">
        <v>348</v>
      </c>
      <c r="B2" s="146" t="s">
        <v>276</v>
      </c>
      <c r="C2" s="146" t="s">
        <v>349</v>
      </c>
    </row>
    <row r="3" spans="1:3">
      <c r="A3" s="146" t="s">
        <v>350</v>
      </c>
      <c r="B3" s="146" t="s">
        <v>351</v>
      </c>
      <c r="C3" s="146" t="s">
        <v>352</v>
      </c>
    </row>
    <row r="4" spans="1:3">
      <c r="A4" s="146" t="s">
        <v>353</v>
      </c>
      <c r="B4" s="157" t="b">
        <v>1</v>
      </c>
      <c r="C4" s="146" t="s">
        <v>354</v>
      </c>
    </row>
    <row r="5" spans="1:3">
      <c r="A5" s="146" t="s">
        <v>355</v>
      </c>
      <c r="B5" s="146" t="s">
        <v>356</v>
      </c>
      <c r="C5" s="146" t="s">
        <v>357</v>
      </c>
    </row>
    <row r="6" spans="1:3">
      <c r="A6" s="146" t="s">
        <v>358</v>
      </c>
      <c r="B6" s="146" t="s">
        <v>359</v>
      </c>
      <c r="C6" s="146" t="s">
        <v>360</v>
      </c>
    </row>
    <row r="7" spans="1:3">
      <c r="A7" s="146" t="s">
        <v>361</v>
      </c>
      <c r="B7" s="146" t="s">
        <v>362</v>
      </c>
      <c r="C7" s="146" t="s">
        <v>363</v>
      </c>
    </row>
    <row r="8" spans="1:3">
      <c r="A8" s="146" t="s">
        <v>263</v>
      </c>
      <c r="B8" s="146">
        <f>'Live Leaderboard'!B3</f>
        <v>15.5</v>
      </c>
      <c r="C8" s="146" t="s">
        <v>364</v>
      </c>
    </row>
    <row r="9" spans="1:3">
      <c r="A9" s="146" t="s">
        <v>365</v>
      </c>
      <c r="B9" s="146">
        <f>'Live Leaderboard'!B4</f>
        <v>30</v>
      </c>
      <c r="C9" s="146" t="s">
        <v>366</v>
      </c>
    </row>
    <row r="10" spans="1:3">
      <c r="A10" s="146" t="s">
        <v>367</v>
      </c>
      <c r="B10" s="146" t="s">
        <v>368</v>
      </c>
      <c r="C10" s="146" t="s">
        <v>369</v>
      </c>
    </row>
    <row r="11" spans="1:3">
      <c r="A11" s="146" t="s">
        <v>384</v>
      </c>
      <c r="B11" s="146" t="s">
        <v>385</v>
      </c>
      <c r="C11" s="146" t="s">
        <v>386</v>
      </c>
    </row>
    <row r="12" spans="1:3">
      <c r="A12" s="146" t="s">
        <v>387</v>
      </c>
      <c r="B12" s="146" t="s">
        <v>388</v>
      </c>
      <c r="C12" s="146" t="s">
        <v>389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1"/>
  <sheetViews>
    <sheetView workbookViewId="0">
      <selection sqref="A1:H2"/>
    </sheetView>
  </sheetViews>
  <sheetFormatPr defaultRowHeight="12.75"/>
  <cols>
    <col min="1" max="1" width="34" customWidth="1"/>
    <col min="2" max="4" width="18" customWidth="1"/>
    <col min="6" max="6" width="24" customWidth="1"/>
    <col min="7" max="7" width="38" customWidth="1"/>
    <col min="8" max="8" width="18" customWidth="1"/>
  </cols>
  <sheetData>
    <row r="1" spans="1:8" ht="30" customHeight="1">
      <c r="A1" s="206" t="s">
        <v>390</v>
      </c>
      <c r="B1" s="207"/>
      <c r="C1" s="207"/>
      <c r="D1" s="207"/>
      <c r="E1" s="207"/>
      <c r="F1" s="207"/>
      <c r="G1" s="207"/>
      <c r="H1" s="207"/>
    </row>
    <row r="2" spans="1:8" ht="30" customHeight="1">
      <c r="A2" s="207"/>
      <c r="B2" s="207"/>
      <c r="C2" s="207"/>
      <c r="D2" s="207"/>
      <c r="E2" s="207"/>
      <c r="F2" s="207"/>
      <c r="G2" s="207"/>
      <c r="H2" s="207"/>
    </row>
    <row r="4" spans="1:8" ht="21.95" customHeight="1">
      <c r="A4" s="208" t="s">
        <v>391</v>
      </c>
      <c r="B4" s="208"/>
      <c r="C4" s="208"/>
      <c r="D4" s="208"/>
      <c r="E4" s="208"/>
      <c r="F4" s="208"/>
      <c r="G4" s="208"/>
      <c r="H4" s="208"/>
    </row>
    <row r="6" spans="1:8">
      <c r="A6" s="162" t="s">
        <v>392</v>
      </c>
      <c r="B6" s="162" t="s">
        <v>393</v>
      </c>
      <c r="C6" s="162" t="s">
        <v>394</v>
      </c>
      <c r="D6" s="162" t="s">
        <v>395</v>
      </c>
      <c r="F6" s="163" t="s">
        <v>396</v>
      </c>
      <c r="G6" s="163" t="s">
        <v>397</v>
      </c>
      <c r="H6" s="163" t="s">
        <v>398</v>
      </c>
    </row>
    <row r="7" spans="1:8" ht="25.5">
      <c r="A7" s="146" t="s">
        <v>399</v>
      </c>
      <c r="B7" s="146" t="s">
        <v>400</v>
      </c>
      <c r="C7" s="146" t="s">
        <v>401</v>
      </c>
      <c r="D7" s="146" t="s">
        <v>402</v>
      </c>
      <c r="F7" s="146" t="s">
        <v>403</v>
      </c>
      <c r="G7" s="146" t="s">
        <v>404</v>
      </c>
      <c r="H7" s="146" t="s">
        <v>405</v>
      </c>
    </row>
    <row r="8" spans="1:8" ht="25.5">
      <c r="A8" s="146" t="s">
        <v>406</v>
      </c>
      <c r="B8" s="146" t="s">
        <v>400</v>
      </c>
      <c r="C8" s="146" t="s">
        <v>407</v>
      </c>
      <c r="D8" s="146" t="s">
        <v>402</v>
      </c>
      <c r="F8" s="146" t="s">
        <v>408</v>
      </c>
      <c r="G8" s="146" t="s">
        <v>409</v>
      </c>
      <c r="H8" s="146" t="s">
        <v>410</v>
      </c>
    </row>
    <row r="9" spans="1:8">
      <c r="A9" s="146" t="s">
        <v>411</v>
      </c>
      <c r="B9" s="146" t="s">
        <v>400</v>
      </c>
      <c r="C9" s="146" t="s">
        <v>412</v>
      </c>
      <c r="D9" s="146" t="s">
        <v>402</v>
      </c>
      <c r="F9" s="146" t="s">
        <v>413</v>
      </c>
      <c r="G9" s="146" t="s">
        <v>414</v>
      </c>
      <c r="H9" s="146" t="s">
        <v>170</v>
      </c>
    </row>
    <row r="10" spans="1:8">
      <c r="A10" s="146" t="s">
        <v>415</v>
      </c>
      <c r="B10" s="146" t="s">
        <v>400</v>
      </c>
      <c r="C10" s="146" t="s">
        <v>416</v>
      </c>
      <c r="D10" s="146" t="s">
        <v>402</v>
      </c>
      <c r="F10" s="146" t="s">
        <v>417</v>
      </c>
      <c r="G10" s="146" t="s">
        <v>418</v>
      </c>
      <c r="H10" s="146" t="s">
        <v>170</v>
      </c>
    </row>
    <row r="11" spans="1:8">
      <c r="A11" s="146" t="s">
        <v>419</v>
      </c>
      <c r="B11" s="146" t="s">
        <v>400</v>
      </c>
      <c r="C11" s="146" t="s">
        <v>416</v>
      </c>
      <c r="D11" s="146" t="s">
        <v>420</v>
      </c>
      <c r="F11" s="146" t="s">
        <v>388</v>
      </c>
      <c r="G11" s="146" t="s">
        <v>421</v>
      </c>
      <c r="H11" s="146" t="s">
        <v>170</v>
      </c>
    </row>
    <row r="12" spans="1:8">
      <c r="A12" s="146" t="s">
        <v>422</v>
      </c>
      <c r="B12" s="146" t="s">
        <v>423</v>
      </c>
      <c r="C12" s="146" t="s">
        <v>424</v>
      </c>
      <c r="D12" s="146" t="s">
        <v>425</v>
      </c>
      <c r="F12" s="146" t="s">
        <v>426</v>
      </c>
      <c r="G12" s="146" t="s">
        <v>427</v>
      </c>
      <c r="H12" s="146" t="s">
        <v>428</v>
      </c>
    </row>
    <row r="13" spans="1:8">
      <c r="F13" s="146" t="s">
        <v>429</v>
      </c>
      <c r="G13" s="146" t="s">
        <v>430</v>
      </c>
      <c r="H13" s="146" t="s">
        <v>170</v>
      </c>
    </row>
    <row r="14" spans="1:8">
      <c r="F14" s="146" t="s">
        <v>431</v>
      </c>
      <c r="G14" s="146" t="s">
        <v>432</v>
      </c>
      <c r="H14" s="146" t="s">
        <v>433</v>
      </c>
    </row>
    <row r="15" spans="1:8">
      <c r="A15" s="209" t="s">
        <v>434</v>
      </c>
      <c r="B15" s="207"/>
      <c r="C15" s="207"/>
      <c r="D15" s="207"/>
      <c r="F15" s="146" t="s">
        <v>435</v>
      </c>
      <c r="G15" s="146" t="s">
        <v>436</v>
      </c>
      <c r="H15" s="146" t="s">
        <v>437</v>
      </c>
    </row>
    <row r="16" spans="1:8" ht="51">
      <c r="A16" s="146" t="s">
        <v>438</v>
      </c>
      <c r="B16" s="146" t="s">
        <v>439</v>
      </c>
      <c r="C16" s="146"/>
      <c r="D16" s="146"/>
      <c r="F16" s="146" t="s">
        <v>440</v>
      </c>
      <c r="G16" s="146" t="s">
        <v>441</v>
      </c>
      <c r="H16" s="146" t="s">
        <v>442</v>
      </c>
    </row>
    <row r="17" spans="1:4" ht="63.75">
      <c r="A17" s="146" t="s">
        <v>443</v>
      </c>
      <c r="B17" s="146" t="s">
        <v>444</v>
      </c>
      <c r="C17" s="146"/>
      <c r="D17" s="146"/>
    </row>
    <row r="18" spans="1:4" ht="63.75">
      <c r="A18" s="146" t="s">
        <v>445</v>
      </c>
      <c r="B18" s="146" t="s">
        <v>446</v>
      </c>
      <c r="C18" s="146"/>
      <c r="D18" s="146"/>
    </row>
    <row r="19" spans="1:4" ht="63.75">
      <c r="A19" s="146" t="s">
        <v>447</v>
      </c>
      <c r="B19" s="146" t="s">
        <v>448</v>
      </c>
      <c r="C19" s="146"/>
      <c r="D19" s="146"/>
    </row>
    <row r="20" spans="1:4" ht="51">
      <c r="A20" s="146" t="s">
        <v>449</v>
      </c>
      <c r="B20" s="146" t="s">
        <v>450</v>
      </c>
      <c r="C20" s="146"/>
      <c r="D20" s="146"/>
    </row>
    <row r="21" spans="1:4" ht="63.75">
      <c r="A21" s="146" t="s">
        <v>451</v>
      </c>
      <c r="B21" s="146" t="s">
        <v>452</v>
      </c>
      <c r="C21" s="146"/>
      <c r="D21" s="146"/>
    </row>
  </sheetData>
  <mergeCells count="3">
    <mergeCell ref="A1:H2"/>
    <mergeCell ref="A4:H4"/>
    <mergeCell ref="A15:D1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121"/>
  <sheetViews>
    <sheetView topLeftCell="E93" workbookViewId="0">
      <selection activeCell="L124" sqref="L124"/>
    </sheetView>
  </sheetViews>
  <sheetFormatPr defaultRowHeight="12.75"/>
  <cols>
    <col min="1" max="1" width="14" customWidth="1"/>
    <col min="2" max="2" width="18" customWidth="1"/>
    <col min="3" max="3" width="8" customWidth="1"/>
    <col min="4" max="4" width="14" customWidth="1"/>
    <col min="5" max="5" width="16" customWidth="1"/>
    <col min="6" max="6" width="28" customWidth="1"/>
    <col min="7" max="7" width="30.140625" customWidth="1"/>
    <col min="8" max="8" width="16" customWidth="1"/>
    <col min="9" max="9" width="20" customWidth="1"/>
    <col min="10" max="10" width="10" customWidth="1"/>
    <col min="11" max="12" width="22" customWidth="1"/>
    <col min="13" max="13" width="16" customWidth="1"/>
    <col min="14" max="14" width="20" customWidth="1"/>
    <col min="15" max="15" width="16" customWidth="1"/>
    <col min="16" max="16" width="20" customWidth="1"/>
    <col min="17" max="17" width="9" customWidth="1"/>
    <col min="18" max="18" width="12" customWidth="1"/>
    <col min="19" max="19" width="20" customWidth="1"/>
    <col min="20" max="20" width="12" customWidth="1"/>
  </cols>
  <sheetData>
    <row r="1" spans="1:20" ht="38.25">
      <c r="A1" s="165" t="s">
        <v>217</v>
      </c>
      <c r="B1" s="165" t="s">
        <v>218</v>
      </c>
      <c r="C1" s="165" t="s">
        <v>254</v>
      </c>
      <c r="D1" s="165" t="s">
        <v>219</v>
      </c>
      <c r="E1" s="165" t="s">
        <v>222</v>
      </c>
      <c r="F1" s="165" t="s">
        <v>453</v>
      </c>
      <c r="G1" s="165" t="s">
        <v>454</v>
      </c>
      <c r="H1" s="165" t="s">
        <v>235</v>
      </c>
      <c r="I1" s="165" t="s">
        <v>330</v>
      </c>
      <c r="J1" s="165" t="s">
        <v>239</v>
      </c>
      <c r="K1" s="165" t="s">
        <v>455</v>
      </c>
      <c r="L1" s="165" t="s">
        <v>456</v>
      </c>
      <c r="M1" s="165" t="s">
        <v>457</v>
      </c>
      <c r="N1" s="165" t="s">
        <v>458</v>
      </c>
      <c r="O1" s="165" t="s">
        <v>459</v>
      </c>
      <c r="P1" s="165" t="s">
        <v>460</v>
      </c>
      <c r="Q1" s="165" t="s">
        <v>231</v>
      </c>
      <c r="R1" s="165" t="s">
        <v>461</v>
      </c>
      <c r="S1" s="165" t="s">
        <v>462</v>
      </c>
      <c r="T1" s="165" t="s">
        <v>463</v>
      </c>
    </row>
    <row r="2" spans="1:20">
      <c r="A2" s="146" t="s">
        <v>464</v>
      </c>
      <c r="B2" s="146" t="s">
        <v>465</v>
      </c>
      <c r="C2" s="146">
        <v>2019</v>
      </c>
      <c r="D2" s="146" t="s">
        <v>114</v>
      </c>
      <c r="E2" s="146" t="s">
        <v>115</v>
      </c>
      <c r="F2" s="146" t="s">
        <v>585</v>
      </c>
      <c r="G2" s="146" t="s">
        <v>587</v>
      </c>
      <c r="H2" s="146" t="s">
        <v>169</v>
      </c>
      <c r="I2" s="146" t="s">
        <v>42</v>
      </c>
      <c r="J2" s="146" t="s">
        <v>362</v>
      </c>
      <c r="K2" s="146" t="s">
        <v>190</v>
      </c>
      <c r="L2" s="146" t="s">
        <v>51</v>
      </c>
      <c r="M2" s="146" t="s">
        <v>210</v>
      </c>
      <c r="N2" s="146" t="s">
        <v>43</v>
      </c>
      <c r="O2" s="146" t="s">
        <v>614</v>
      </c>
      <c r="P2" s="146" t="s">
        <v>616</v>
      </c>
      <c r="Q2" s="146" t="s">
        <v>103</v>
      </c>
      <c r="R2" s="156">
        <v>0</v>
      </c>
      <c r="S2" s="146" t="s">
        <v>116</v>
      </c>
      <c r="T2" s="146">
        <v>29</v>
      </c>
    </row>
    <row r="3" spans="1:20">
      <c r="A3" s="146" t="s">
        <v>464</v>
      </c>
      <c r="B3" s="146" t="s">
        <v>465</v>
      </c>
      <c r="C3" s="146">
        <v>2019</v>
      </c>
      <c r="D3" s="146" t="s">
        <v>114</v>
      </c>
      <c r="E3" s="146" t="s">
        <v>115</v>
      </c>
      <c r="F3" s="146" t="s">
        <v>585</v>
      </c>
      <c r="G3" s="146" t="s">
        <v>587</v>
      </c>
      <c r="H3" s="146" t="s">
        <v>190</v>
      </c>
      <c r="I3" s="146" t="s">
        <v>51</v>
      </c>
      <c r="J3" s="146" t="s">
        <v>362</v>
      </c>
      <c r="K3" s="146" t="s">
        <v>169</v>
      </c>
      <c r="L3" s="146" t="s">
        <v>42</v>
      </c>
      <c r="M3" s="146" t="s">
        <v>210</v>
      </c>
      <c r="N3" s="146" t="s">
        <v>43</v>
      </c>
      <c r="O3" s="146" t="s">
        <v>614</v>
      </c>
      <c r="P3" s="146" t="s">
        <v>616</v>
      </c>
      <c r="Q3" s="146" t="s">
        <v>103</v>
      </c>
      <c r="R3" s="156">
        <v>0</v>
      </c>
      <c r="S3" s="146" t="s">
        <v>116</v>
      </c>
      <c r="T3" s="146">
        <v>30</v>
      </c>
    </row>
    <row r="4" spans="1:20">
      <c r="A4" s="146" t="s">
        <v>464</v>
      </c>
      <c r="B4" s="146" t="s">
        <v>465</v>
      </c>
      <c r="C4" s="146">
        <v>2019</v>
      </c>
      <c r="D4" s="146" t="s">
        <v>114</v>
      </c>
      <c r="E4" s="146" t="s">
        <v>115</v>
      </c>
      <c r="F4" s="146" t="s">
        <v>585</v>
      </c>
      <c r="G4" s="146" t="s">
        <v>587</v>
      </c>
      <c r="H4" s="146" t="s">
        <v>210</v>
      </c>
      <c r="I4" s="146" t="s">
        <v>43</v>
      </c>
      <c r="J4" s="146" t="s">
        <v>359</v>
      </c>
      <c r="K4" s="146" t="s">
        <v>614</v>
      </c>
      <c r="L4" s="146" t="s">
        <v>616</v>
      </c>
      <c r="M4" s="146" t="s">
        <v>169</v>
      </c>
      <c r="N4" s="146" t="s">
        <v>42</v>
      </c>
      <c r="O4" s="146" t="s">
        <v>190</v>
      </c>
      <c r="P4" s="146" t="s">
        <v>51</v>
      </c>
      <c r="Q4" s="146" t="s">
        <v>102</v>
      </c>
      <c r="R4" s="156">
        <v>1</v>
      </c>
      <c r="S4" s="146" t="s">
        <v>116</v>
      </c>
      <c r="T4" s="146">
        <v>31</v>
      </c>
    </row>
    <row r="5" spans="1:20">
      <c r="A5" s="146" t="s">
        <v>464</v>
      </c>
      <c r="B5" s="146" t="s">
        <v>465</v>
      </c>
      <c r="C5" s="146">
        <v>2019</v>
      </c>
      <c r="D5" s="146" t="s">
        <v>114</v>
      </c>
      <c r="E5" s="146" t="s">
        <v>115</v>
      </c>
      <c r="F5" s="146" t="s">
        <v>585</v>
      </c>
      <c r="G5" s="146" t="s">
        <v>587</v>
      </c>
      <c r="H5" s="146" t="s">
        <v>614</v>
      </c>
      <c r="I5" s="146" t="s">
        <v>616</v>
      </c>
      <c r="J5" s="146" t="s">
        <v>359</v>
      </c>
      <c r="K5" s="146" t="s">
        <v>210</v>
      </c>
      <c r="L5" s="146" t="s">
        <v>43</v>
      </c>
      <c r="M5" s="146" t="s">
        <v>169</v>
      </c>
      <c r="N5" s="146" t="s">
        <v>42</v>
      </c>
      <c r="O5" s="146" t="s">
        <v>190</v>
      </c>
      <c r="P5" s="146" t="s">
        <v>51</v>
      </c>
      <c r="Q5" s="146" t="s">
        <v>102</v>
      </c>
      <c r="R5" s="156">
        <v>1</v>
      </c>
      <c r="S5" s="146" t="s">
        <v>116</v>
      </c>
      <c r="T5" s="146">
        <v>32</v>
      </c>
    </row>
    <row r="6" spans="1:20">
      <c r="A6" s="146" t="s">
        <v>466</v>
      </c>
      <c r="B6" s="146" t="s">
        <v>465</v>
      </c>
      <c r="C6" s="146">
        <v>2019</v>
      </c>
      <c r="D6" s="146" t="s">
        <v>117</v>
      </c>
      <c r="E6" s="146" t="s">
        <v>115</v>
      </c>
      <c r="F6" s="146" t="s">
        <v>585</v>
      </c>
      <c r="G6" s="146" t="s">
        <v>587</v>
      </c>
      <c r="H6" s="146" t="s">
        <v>184</v>
      </c>
      <c r="I6" s="146" t="s">
        <v>50</v>
      </c>
      <c r="J6" s="146" t="s">
        <v>362</v>
      </c>
      <c r="K6" s="146" t="s">
        <v>177</v>
      </c>
      <c r="L6" s="146" t="s">
        <v>41</v>
      </c>
      <c r="M6" s="146" t="s">
        <v>197</v>
      </c>
      <c r="N6" s="146" t="s">
        <v>44</v>
      </c>
      <c r="O6" s="146" t="s">
        <v>203</v>
      </c>
      <c r="P6" s="146" t="s">
        <v>52</v>
      </c>
      <c r="Q6" s="146" t="s">
        <v>103</v>
      </c>
      <c r="R6" s="156">
        <v>0</v>
      </c>
      <c r="S6" s="146" t="s">
        <v>118</v>
      </c>
      <c r="T6" s="146">
        <v>33</v>
      </c>
    </row>
    <row r="7" spans="1:20">
      <c r="A7" s="146" t="s">
        <v>466</v>
      </c>
      <c r="B7" s="146" t="s">
        <v>465</v>
      </c>
      <c r="C7" s="146">
        <v>2019</v>
      </c>
      <c r="D7" s="146" t="s">
        <v>117</v>
      </c>
      <c r="E7" s="146" t="s">
        <v>115</v>
      </c>
      <c r="F7" s="146" t="s">
        <v>585</v>
      </c>
      <c r="G7" s="146" t="s">
        <v>587</v>
      </c>
      <c r="H7" s="146" t="s">
        <v>177</v>
      </c>
      <c r="I7" s="146" t="s">
        <v>41</v>
      </c>
      <c r="J7" s="146" t="s">
        <v>362</v>
      </c>
      <c r="K7" s="146" t="s">
        <v>184</v>
      </c>
      <c r="L7" s="146" t="s">
        <v>50</v>
      </c>
      <c r="M7" s="146" t="s">
        <v>197</v>
      </c>
      <c r="N7" s="146" t="s">
        <v>44</v>
      </c>
      <c r="O7" s="146" t="s">
        <v>203</v>
      </c>
      <c r="P7" s="146" t="s">
        <v>52</v>
      </c>
      <c r="Q7" s="146" t="s">
        <v>103</v>
      </c>
      <c r="R7" s="156">
        <v>0</v>
      </c>
      <c r="S7" s="146" t="s">
        <v>118</v>
      </c>
      <c r="T7" s="146">
        <v>34</v>
      </c>
    </row>
    <row r="8" spans="1:20">
      <c r="A8" s="146" t="s">
        <v>466</v>
      </c>
      <c r="B8" s="146" t="s">
        <v>465</v>
      </c>
      <c r="C8" s="146">
        <v>2019</v>
      </c>
      <c r="D8" s="146" t="s">
        <v>117</v>
      </c>
      <c r="E8" s="146" t="s">
        <v>115</v>
      </c>
      <c r="F8" s="146" t="s">
        <v>585</v>
      </c>
      <c r="G8" s="146" t="s">
        <v>587</v>
      </c>
      <c r="H8" s="146" t="s">
        <v>197</v>
      </c>
      <c r="I8" s="146" t="s">
        <v>44</v>
      </c>
      <c r="J8" s="146" t="s">
        <v>359</v>
      </c>
      <c r="K8" s="146" t="s">
        <v>203</v>
      </c>
      <c r="L8" s="146" t="s">
        <v>52</v>
      </c>
      <c r="M8" s="146" t="s">
        <v>184</v>
      </c>
      <c r="N8" s="146" t="s">
        <v>50</v>
      </c>
      <c r="O8" s="146" t="s">
        <v>177</v>
      </c>
      <c r="P8" s="146" t="s">
        <v>41</v>
      </c>
      <c r="Q8" s="146" t="s">
        <v>102</v>
      </c>
      <c r="R8" s="156">
        <v>1</v>
      </c>
      <c r="S8" s="146" t="s">
        <v>118</v>
      </c>
      <c r="T8" s="146">
        <v>35</v>
      </c>
    </row>
    <row r="9" spans="1:20">
      <c r="A9" s="146" t="s">
        <v>466</v>
      </c>
      <c r="B9" s="146" t="s">
        <v>465</v>
      </c>
      <c r="C9" s="146">
        <v>2019</v>
      </c>
      <c r="D9" s="146" t="s">
        <v>117</v>
      </c>
      <c r="E9" s="146" t="s">
        <v>115</v>
      </c>
      <c r="F9" s="146" t="s">
        <v>585</v>
      </c>
      <c r="G9" s="146" t="s">
        <v>587</v>
      </c>
      <c r="H9" s="146" t="s">
        <v>203</v>
      </c>
      <c r="I9" s="146" t="s">
        <v>52</v>
      </c>
      <c r="J9" s="146" t="s">
        <v>359</v>
      </c>
      <c r="K9" s="146" t="s">
        <v>197</v>
      </c>
      <c r="L9" s="146" t="s">
        <v>44</v>
      </c>
      <c r="M9" s="146" t="s">
        <v>184</v>
      </c>
      <c r="N9" s="146" t="s">
        <v>50</v>
      </c>
      <c r="O9" s="146" t="s">
        <v>177</v>
      </c>
      <c r="P9" s="146" t="s">
        <v>41</v>
      </c>
      <c r="Q9" s="146" t="s">
        <v>102</v>
      </c>
      <c r="R9" s="156">
        <v>1</v>
      </c>
      <c r="S9" s="146" t="s">
        <v>118</v>
      </c>
      <c r="T9" s="146">
        <v>36</v>
      </c>
    </row>
    <row r="10" spans="1:20">
      <c r="A10" s="146" t="s">
        <v>467</v>
      </c>
      <c r="B10" s="146" t="s">
        <v>465</v>
      </c>
      <c r="C10" s="146">
        <v>2019</v>
      </c>
      <c r="D10" s="146" t="s">
        <v>119</v>
      </c>
      <c r="E10" s="146" t="s">
        <v>16</v>
      </c>
      <c r="F10" s="146" t="s">
        <v>585</v>
      </c>
      <c r="G10" s="171" t="s">
        <v>588</v>
      </c>
      <c r="H10" s="146" t="s">
        <v>169</v>
      </c>
      <c r="I10" s="146" t="s">
        <v>42</v>
      </c>
      <c r="J10" s="146" t="s">
        <v>362</v>
      </c>
      <c r="K10" s="146" t="s">
        <v>177</v>
      </c>
      <c r="L10" s="146" t="s">
        <v>41</v>
      </c>
      <c r="M10" s="146" t="s">
        <v>210</v>
      </c>
      <c r="N10" s="146" t="s">
        <v>43</v>
      </c>
      <c r="O10" s="146" t="s">
        <v>203</v>
      </c>
      <c r="P10" s="146" t="s">
        <v>52</v>
      </c>
      <c r="Q10" s="146" t="s">
        <v>102</v>
      </c>
      <c r="R10" s="156">
        <v>1</v>
      </c>
      <c r="S10" s="146" t="s">
        <v>120</v>
      </c>
      <c r="T10" s="146">
        <v>37</v>
      </c>
    </row>
    <row r="11" spans="1:20">
      <c r="A11" s="146" t="s">
        <v>467</v>
      </c>
      <c r="B11" s="146" t="s">
        <v>465</v>
      </c>
      <c r="C11" s="146">
        <v>2019</v>
      </c>
      <c r="D11" s="146" t="s">
        <v>119</v>
      </c>
      <c r="E11" s="146" t="s">
        <v>16</v>
      </c>
      <c r="F11" s="146" t="s">
        <v>585</v>
      </c>
      <c r="G11" s="171" t="s">
        <v>588</v>
      </c>
      <c r="H11" s="146" t="s">
        <v>177</v>
      </c>
      <c r="I11" s="146" t="s">
        <v>41</v>
      </c>
      <c r="J11" s="146" t="s">
        <v>362</v>
      </c>
      <c r="K11" s="146" t="s">
        <v>169</v>
      </c>
      <c r="L11" s="146" t="s">
        <v>42</v>
      </c>
      <c r="M11" s="146" t="s">
        <v>210</v>
      </c>
      <c r="N11" s="146" t="s">
        <v>43</v>
      </c>
      <c r="O11" s="146" t="s">
        <v>203</v>
      </c>
      <c r="P11" s="146" t="s">
        <v>52</v>
      </c>
      <c r="Q11" s="146" t="s">
        <v>102</v>
      </c>
      <c r="R11" s="156">
        <v>1</v>
      </c>
      <c r="S11" s="146" t="s">
        <v>120</v>
      </c>
      <c r="T11" s="146">
        <v>38</v>
      </c>
    </row>
    <row r="12" spans="1:20">
      <c r="A12" s="146" t="s">
        <v>467</v>
      </c>
      <c r="B12" s="146" t="s">
        <v>465</v>
      </c>
      <c r="C12" s="146">
        <v>2019</v>
      </c>
      <c r="D12" s="146" t="s">
        <v>119</v>
      </c>
      <c r="E12" s="146" t="s">
        <v>16</v>
      </c>
      <c r="F12" s="146" t="s">
        <v>585</v>
      </c>
      <c r="G12" s="171" t="s">
        <v>588</v>
      </c>
      <c r="H12" s="146" t="s">
        <v>210</v>
      </c>
      <c r="I12" s="146" t="s">
        <v>43</v>
      </c>
      <c r="J12" s="146" t="s">
        <v>359</v>
      </c>
      <c r="K12" s="146" t="s">
        <v>203</v>
      </c>
      <c r="L12" s="146" t="s">
        <v>52</v>
      </c>
      <c r="M12" s="146" t="s">
        <v>169</v>
      </c>
      <c r="N12" s="146" t="s">
        <v>42</v>
      </c>
      <c r="O12" s="146" t="s">
        <v>177</v>
      </c>
      <c r="P12" s="146" t="s">
        <v>41</v>
      </c>
      <c r="Q12" s="146" t="s">
        <v>103</v>
      </c>
      <c r="R12" s="156">
        <v>0</v>
      </c>
      <c r="S12" s="146" t="s">
        <v>120</v>
      </c>
      <c r="T12" s="146">
        <v>39</v>
      </c>
    </row>
    <row r="13" spans="1:20">
      <c r="A13" s="146" t="s">
        <v>467</v>
      </c>
      <c r="B13" s="146" t="s">
        <v>465</v>
      </c>
      <c r="C13" s="146">
        <v>2019</v>
      </c>
      <c r="D13" s="146" t="s">
        <v>119</v>
      </c>
      <c r="E13" s="146" t="s">
        <v>16</v>
      </c>
      <c r="F13" s="146" t="s">
        <v>585</v>
      </c>
      <c r="G13" s="171" t="s">
        <v>588</v>
      </c>
      <c r="H13" s="146" t="s">
        <v>203</v>
      </c>
      <c r="I13" s="146" t="s">
        <v>52</v>
      </c>
      <c r="J13" s="146" t="s">
        <v>359</v>
      </c>
      <c r="K13" s="146" t="s">
        <v>210</v>
      </c>
      <c r="L13" s="146" t="s">
        <v>43</v>
      </c>
      <c r="M13" s="146" t="s">
        <v>169</v>
      </c>
      <c r="N13" s="146" t="s">
        <v>42</v>
      </c>
      <c r="O13" s="146" t="s">
        <v>177</v>
      </c>
      <c r="P13" s="146" t="s">
        <v>41</v>
      </c>
      <c r="Q13" s="146" t="s">
        <v>103</v>
      </c>
      <c r="R13" s="156">
        <v>0</v>
      </c>
      <c r="S13" s="146" t="s">
        <v>120</v>
      </c>
      <c r="T13" s="146">
        <v>40</v>
      </c>
    </row>
    <row r="14" spans="1:20">
      <c r="A14" s="146" t="s">
        <v>468</v>
      </c>
      <c r="B14" s="146" t="s">
        <v>465</v>
      </c>
      <c r="C14" s="146">
        <v>2019</v>
      </c>
      <c r="D14" s="146" t="s">
        <v>121</v>
      </c>
      <c r="E14" s="146" t="s">
        <v>16</v>
      </c>
      <c r="F14" s="146" t="s">
        <v>585</v>
      </c>
      <c r="G14" s="171" t="s">
        <v>588</v>
      </c>
      <c r="H14" s="146" t="s">
        <v>190</v>
      </c>
      <c r="I14" s="146" t="s">
        <v>51</v>
      </c>
      <c r="J14" s="146" t="s">
        <v>362</v>
      </c>
      <c r="K14" s="146" t="s">
        <v>184</v>
      </c>
      <c r="L14" s="146" t="s">
        <v>50</v>
      </c>
      <c r="M14" s="146" t="s">
        <v>197</v>
      </c>
      <c r="N14" s="146" t="s">
        <v>44</v>
      </c>
      <c r="O14" s="146" t="s">
        <v>614</v>
      </c>
      <c r="P14" s="146" t="s">
        <v>616</v>
      </c>
      <c r="Q14" s="146" t="s">
        <v>103</v>
      </c>
      <c r="R14" s="156">
        <v>0</v>
      </c>
      <c r="S14" s="146" t="s">
        <v>122</v>
      </c>
      <c r="T14" s="146">
        <v>41</v>
      </c>
    </row>
    <row r="15" spans="1:20">
      <c r="A15" s="146" t="s">
        <v>468</v>
      </c>
      <c r="B15" s="146" t="s">
        <v>465</v>
      </c>
      <c r="C15" s="146">
        <v>2019</v>
      </c>
      <c r="D15" s="146" t="s">
        <v>121</v>
      </c>
      <c r="E15" s="146" t="s">
        <v>16</v>
      </c>
      <c r="F15" s="146" t="s">
        <v>585</v>
      </c>
      <c r="G15" s="171" t="s">
        <v>588</v>
      </c>
      <c r="H15" s="146" t="s">
        <v>184</v>
      </c>
      <c r="I15" s="146" t="s">
        <v>50</v>
      </c>
      <c r="J15" s="146" t="s">
        <v>362</v>
      </c>
      <c r="K15" s="146" t="s">
        <v>190</v>
      </c>
      <c r="L15" s="146" t="s">
        <v>51</v>
      </c>
      <c r="M15" s="146" t="s">
        <v>197</v>
      </c>
      <c r="N15" s="146" t="s">
        <v>44</v>
      </c>
      <c r="O15" s="146" t="s">
        <v>614</v>
      </c>
      <c r="P15" s="146" t="s">
        <v>616</v>
      </c>
      <c r="Q15" s="146" t="s">
        <v>103</v>
      </c>
      <c r="R15" s="156">
        <v>0</v>
      </c>
      <c r="S15" s="146" t="s">
        <v>122</v>
      </c>
      <c r="T15" s="146">
        <v>42</v>
      </c>
    </row>
    <row r="16" spans="1:20">
      <c r="A16" s="146" t="s">
        <v>468</v>
      </c>
      <c r="B16" s="146" t="s">
        <v>465</v>
      </c>
      <c r="C16" s="146">
        <v>2019</v>
      </c>
      <c r="D16" s="146" t="s">
        <v>121</v>
      </c>
      <c r="E16" s="146" t="s">
        <v>16</v>
      </c>
      <c r="F16" s="146" t="s">
        <v>585</v>
      </c>
      <c r="G16" s="171" t="s">
        <v>588</v>
      </c>
      <c r="H16" s="146" t="s">
        <v>197</v>
      </c>
      <c r="I16" s="146" t="s">
        <v>44</v>
      </c>
      <c r="J16" s="146" t="s">
        <v>359</v>
      </c>
      <c r="K16" s="146" t="s">
        <v>614</v>
      </c>
      <c r="L16" s="146" t="s">
        <v>616</v>
      </c>
      <c r="M16" s="146" t="s">
        <v>190</v>
      </c>
      <c r="N16" s="146" t="s">
        <v>51</v>
      </c>
      <c r="O16" s="146" t="s">
        <v>184</v>
      </c>
      <c r="P16" s="146" t="s">
        <v>50</v>
      </c>
      <c r="Q16" s="146" t="s">
        <v>102</v>
      </c>
      <c r="R16" s="156">
        <v>1</v>
      </c>
      <c r="S16" s="146" t="s">
        <v>122</v>
      </c>
      <c r="T16" s="146">
        <v>43</v>
      </c>
    </row>
    <row r="17" spans="1:20">
      <c r="A17" s="146" t="s">
        <v>468</v>
      </c>
      <c r="B17" s="146" t="s">
        <v>465</v>
      </c>
      <c r="C17" s="146">
        <v>2019</v>
      </c>
      <c r="D17" s="146" t="s">
        <v>121</v>
      </c>
      <c r="E17" s="146" t="s">
        <v>16</v>
      </c>
      <c r="F17" s="146" t="s">
        <v>585</v>
      </c>
      <c r="G17" s="171" t="s">
        <v>588</v>
      </c>
      <c r="H17" s="146" t="s">
        <v>614</v>
      </c>
      <c r="I17" s="146" t="s">
        <v>616</v>
      </c>
      <c r="J17" s="146" t="s">
        <v>359</v>
      </c>
      <c r="K17" s="146" t="s">
        <v>197</v>
      </c>
      <c r="L17" s="146" t="s">
        <v>44</v>
      </c>
      <c r="M17" s="146" t="s">
        <v>190</v>
      </c>
      <c r="N17" s="146" t="s">
        <v>51</v>
      </c>
      <c r="O17" s="146" t="s">
        <v>184</v>
      </c>
      <c r="P17" s="146" t="s">
        <v>50</v>
      </c>
      <c r="Q17" s="146" t="s">
        <v>102</v>
      </c>
      <c r="R17" s="156">
        <v>1</v>
      </c>
      <c r="S17" s="146" t="s">
        <v>122</v>
      </c>
      <c r="T17" s="146">
        <v>44</v>
      </c>
    </row>
    <row r="18" spans="1:20">
      <c r="A18" s="146" t="s">
        <v>469</v>
      </c>
      <c r="B18" s="146" t="s">
        <v>465</v>
      </c>
      <c r="C18" s="146">
        <v>2019</v>
      </c>
      <c r="D18" s="146" t="s">
        <v>123</v>
      </c>
      <c r="E18" s="146" t="s">
        <v>124</v>
      </c>
      <c r="F18" s="146" t="s">
        <v>586</v>
      </c>
      <c r="G18" s="171" t="s">
        <v>589</v>
      </c>
      <c r="H18" s="146" t="s">
        <v>169</v>
      </c>
      <c r="I18" s="146" t="s">
        <v>42</v>
      </c>
      <c r="J18" s="146" t="s">
        <v>362</v>
      </c>
      <c r="K18" s="146"/>
      <c r="L18" s="146"/>
      <c r="M18" s="146" t="s">
        <v>210</v>
      </c>
      <c r="N18" s="146" t="s">
        <v>43</v>
      </c>
      <c r="O18" s="146"/>
      <c r="P18" s="146"/>
      <c r="Q18" s="146" t="s">
        <v>104</v>
      </c>
      <c r="R18" s="156">
        <v>1</v>
      </c>
      <c r="S18" s="146" t="s">
        <v>125</v>
      </c>
      <c r="T18" s="146">
        <v>45</v>
      </c>
    </row>
    <row r="19" spans="1:20">
      <c r="A19" s="146" t="s">
        <v>469</v>
      </c>
      <c r="B19" s="146" t="s">
        <v>465</v>
      </c>
      <c r="C19" s="146">
        <v>2019</v>
      </c>
      <c r="D19" s="146" t="s">
        <v>123</v>
      </c>
      <c r="E19" s="146" t="s">
        <v>124</v>
      </c>
      <c r="F19" s="146" t="s">
        <v>586</v>
      </c>
      <c r="G19" s="171" t="s">
        <v>589</v>
      </c>
      <c r="H19" s="146" t="s">
        <v>210</v>
      </c>
      <c r="I19" s="146" t="s">
        <v>43</v>
      </c>
      <c r="J19" s="146" t="s">
        <v>359</v>
      </c>
      <c r="K19" s="146"/>
      <c r="L19" s="146"/>
      <c r="M19" s="146" t="s">
        <v>169</v>
      </c>
      <c r="N19" s="146" t="s">
        <v>42</v>
      </c>
      <c r="O19" s="146"/>
      <c r="P19" s="146"/>
      <c r="Q19" s="146" t="s">
        <v>104</v>
      </c>
      <c r="R19" s="156">
        <v>1</v>
      </c>
      <c r="S19" s="146" t="s">
        <v>125</v>
      </c>
      <c r="T19" s="146">
        <v>46</v>
      </c>
    </row>
    <row r="20" spans="1:20">
      <c r="A20" s="146" t="s">
        <v>470</v>
      </c>
      <c r="B20" s="146" t="s">
        <v>465</v>
      </c>
      <c r="C20" s="146">
        <v>2019</v>
      </c>
      <c r="D20" s="146" t="s">
        <v>123</v>
      </c>
      <c r="E20" s="146" t="s">
        <v>124</v>
      </c>
      <c r="F20" s="146" t="s">
        <v>586</v>
      </c>
      <c r="G20" s="171" t="s">
        <v>589</v>
      </c>
      <c r="H20" s="146" t="s">
        <v>177</v>
      </c>
      <c r="I20" s="146" t="s">
        <v>41</v>
      </c>
      <c r="J20" s="146" t="s">
        <v>362</v>
      </c>
      <c r="K20" s="146"/>
      <c r="L20" s="146"/>
      <c r="M20" s="146" t="s">
        <v>197</v>
      </c>
      <c r="N20" s="146" t="s">
        <v>44</v>
      </c>
      <c r="O20" s="146"/>
      <c r="P20" s="146"/>
      <c r="Q20" s="146" t="s">
        <v>103</v>
      </c>
      <c r="R20" s="156">
        <v>0</v>
      </c>
      <c r="S20" s="146" t="s">
        <v>116</v>
      </c>
      <c r="T20" s="146">
        <v>47</v>
      </c>
    </row>
    <row r="21" spans="1:20">
      <c r="A21" s="146" t="s">
        <v>470</v>
      </c>
      <c r="B21" s="146" t="s">
        <v>465</v>
      </c>
      <c r="C21" s="146">
        <v>2019</v>
      </c>
      <c r="D21" s="146" t="s">
        <v>123</v>
      </c>
      <c r="E21" s="146" t="s">
        <v>124</v>
      </c>
      <c r="F21" s="146" t="s">
        <v>586</v>
      </c>
      <c r="G21" s="171" t="s">
        <v>589</v>
      </c>
      <c r="H21" s="146" t="s">
        <v>197</v>
      </c>
      <c r="I21" s="146" t="s">
        <v>44</v>
      </c>
      <c r="J21" s="146" t="s">
        <v>359</v>
      </c>
      <c r="K21" s="146"/>
      <c r="L21" s="146"/>
      <c r="M21" s="146" t="s">
        <v>177</v>
      </c>
      <c r="N21" s="146" t="s">
        <v>41</v>
      </c>
      <c r="O21" s="146"/>
      <c r="P21" s="146"/>
      <c r="Q21" s="146" t="s">
        <v>102</v>
      </c>
      <c r="R21" s="156">
        <v>2</v>
      </c>
      <c r="S21" s="146" t="s">
        <v>116</v>
      </c>
      <c r="T21" s="146">
        <v>48</v>
      </c>
    </row>
    <row r="22" spans="1:20">
      <c r="A22" s="146" t="s">
        <v>470</v>
      </c>
      <c r="B22" s="146" t="s">
        <v>465</v>
      </c>
      <c r="C22" s="146">
        <v>2019</v>
      </c>
      <c r="D22" s="146" t="s">
        <v>123</v>
      </c>
      <c r="E22" s="146" t="s">
        <v>124</v>
      </c>
      <c r="F22" s="146" t="s">
        <v>586</v>
      </c>
      <c r="G22" s="171" t="s">
        <v>589</v>
      </c>
      <c r="H22" s="146" t="s">
        <v>184</v>
      </c>
      <c r="I22" s="146" t="s">
        <v>50</v>
      </c>
      <c r="J22" s="146" t="s">
        <v>362</v>
      </c>
      <c r="K22" s="146"/>
      <c r="L22" s="146"/>
      <c r="M22" s="146" t="s">
        <v>197</v>
      </c>
      <c r="N22" s="146" t="s">
        <v>44</v>
      </c>
      <c r="O22" s="146"/>
      <c r="P22" s="146"/>
      <c r="Q22" s="146" t="s">
        <v>103</v>
      </c>
      <c r="R22" s="156">
        <v>0</v>
      </c>
      <c r="S22" s="146" t="s">
        <v>116</v>
      </c>
      <c r="T22" s="146">
        <v>51</v>
      </c>
    </row>
    <row r="23" spans="1:20">
      <c r="A23" s="146" t="s">
        <v>470</v>
      </c>
      <c r="B23" s="146" t="s">
        <v>465</v>
      </c>
      <c r="C23" s="146">
        <v>2019</v>
      </c>
      <c r="D23" s="146" t="s">
        <v>123</v>
      </c>
      <c r="E23" s="146" t="s">
        <v>124</v>
      </c>
      <c r="F23" s="146" t="s">
        <v>586</v>
      </c>
      <c r="G23" s="171" t="s">
        <v>589</v>
      </c>
      <c r="H23" s="146" t="s">
        <v>614</v>
      </c>
      <c r="I23" s="146" t="s">
        <v>616</v>
      </c>
      <c r="J23" s="146" t="s">
        <v>359</v>
      </c>
      <c r="K23" s="146"/>
      <c r="L23" s="146"/>
      <c r="M23" s="146" t="s">
        <v>177</v>
      </c>
      <c r="N23" s="146" t="s">
        <v>41</v>
      </c>
      <c r="O23" s="146"/>
      <c r="P23" s="146"/>
      <c r="Q23" s="146" t="s">
        <v>102</v>
      </c>
      <c r="R23" s="156">
        <v>2</v>
      </c>
      <c r="S23" s="146" t="s">
        <v>116</v>
      </c>
      <c r="T23" s="146">
        <v>52</v>
      </c>
    </row>
    <row r="24" spans="1:20">
      <c r="A24" s="146" t="s">
        <v>471</v>
      </c>
      <c r="B24" s="146" t="s">
        <v>465</v>
      </c>
      <c r="C24" s="146">
        <v>2019</v>
      </c>
      <c r="D24" s="146" t="s">
        <v>123</v>
      </c>
      <c r="E24" s="146" t="s">
        <v>124</v>
      </c>
      <c r="F24" s="146" t="s">
        <v>586</v>
      </c>
      <c r="G24" s="171" t="s">
        <v>589</v>
      </c>
      <c r="H24" s="146" t="s">
        <v>190</v>
      </c>
      <c r="I24" s="146" t="s">
        <v>51</v>
      </c>
      <c r="J24" s="146" t="s">
        <v>362</v>
      </c>
      <c r="K24" s="146"/>
      <c r="L24" s="146"/>
      <c r="M24" s="146" t="s">
        <v>203</v>
      </c>
      <c r="N24" s="146" t="s">
        <v>52</v>
      </c>
      <c r="O24" s="146"/>
      <c r="P24" s="146"/>
      <c r="Q24" s="146" t="s">
        <v>103</v>
      </c>
      <c r="R24" s="156">
        <v>0</v>
      </c>
      <c r="S24" s="146" t="s">
        <v>126</v>
      </c>
      <c r="T24" s="146">
        <v>49</v>
      </c>
    </row>
    <row r="25" spans="1:20">
      <c r="A25" s="146" t="s">
        <v>471</v>
      </c>
      <c r="B25" s="146" t="s">
        <v>465</v>
      </c>
      <c r="C25" s="146">
        <v>2019</v>
      </c>
      <c r="D25" s="146" t="s">
        <v>123</v>
      </c>
      <c r="E25" s="146" t="s">
        <v>124</v>
      </c>
      <c r="F25" s="146" t="s">
        <v>586</v>
      </c>
      <c r="G25" s="171" t="s">
        <v>589</v>
      </c>
      <c r="H25" s="146" t="s">
        <v>203</v>
      </c>
      <c r="I25" s="146" t="s">
        <v>52</v>
      </c>
      <c r="J25" s="146" t="s">
        <v>359</v>
      </c>
      <c r="K25" s="146"/>
      <c r="L25" s="146"/>
      <c r="M25" s="146" t="s">
        <v>190</v>
      </c>
      <c r="N25" s="146" t="s">
        <v>51</v>
      </c>
      <c r="O25" s="146"/>
      <c r="P25" s="146"/>
      <c r="Q25" s="146" t="s">
        <v>102</v>
      </c>
      <c r="R25" s="156">
        <v>2</v>
      </c>
      <c r="S25" s="146" t="s">
        <v>126</v>
      </c>
      <c r="T25" s="146">
        <v>50</v>
      </c>
    </row>
    <row r="26" spans="1:20">
      <c r="A26" s="146" t="s">
        <v>472</v>
      </c>
      <c r="B26" s="146" t="s">
        <v>473</v>
      </c>
      <c r="C26" s="146">
        <v>2020</v>
      </c>
      <c r="D26" s="146" t="s">
        <v>114</v>
      </c>
      <c r="E26" s="146" t="s">
        <v>115</v>
      </c>
      <c r="F26" s="146" t="s">
        <v>585</v>
      </c>
      <c r="G26" s="146" t="s">
        <v>587</v>
      </c>
      <c r="H26" s="146" t="s">
        <v>169</v>
      </c>
      <c r="I26" s="146" t="s">
        <v>42</v>
      </c>
      <c r="J26" s="146" t="s">
        <v>362</v>
      </c>
      <c r="K26" s="146" t="s">
        <v>184</v>
      </c>
      <c r="L26" s="146" t="s">
        <v>50</v>
      </c>
      <c r="M26" s="146" t="s">
        <v>210</v>
      </c>
      <c r="N26" s="146" t="s">
        <v>43</v>
      </c>
      <c r="O26" s="146" t="s">
        <v>614</v>
      </c>
      <c r="P26" s="146" t="s">
        <v>616</v>
      </c>
      <c r="Q26" s="146" t="s">
        <v>102</v>
      </c>
      <c r="R26" s="156">
        <v>1</v>
      </c>
      <c r="S26" s="146" t="s">
        <v>127</v>
      </c>
      <c r="T26" s="146">
        <v>53</v>
      </c>
    </row>
    <row r="27" spans="1:20">
      <c r="A27" s="146" t="s">
        <v>472</v>
      </c>
      <c r="B27" s="146" t="s">
        <v>473</v>
      </c>
      <c r="C27" s="146">
        <v>2020</v>
      </c>
      <c r="D27" s="146" t="s">
        <v>114</v>
      </c>
      <c r="E27" s="146" t="s">
        <v>115</v>
      </c>
      <c r="F27" s="146" t="s">
        <v>585</v>
      </c>
      <c r="G27" s="146" t="s">
        <v>587</v>
      </c>
      <c r="H27" s="146" t="s">
        <v>184</v>
      </c>
      <c r="I27" s="146" t="s">
        <v>50</v>
      </c>
      <c r="J27" s="146" t="s">
        <v>362</v>
      </c>
      <c r="K27" s="146" t="s">
        <v>169</v>
      </c>
      <c r="L27" s="146" t="s">
        <v>42</v>
      </c>
      <c r="M27" s="146" t="s">
        <v>210</v>
      </c>
      <c r="N27" s="146" t="s">
        <v>43</v>
      </c>
      <c r="O27" s="146" t="s">
        <v>614</v>
      </c>
      <c r="P27" s="146" t="s">
        <v>616</v>
      </c>
      <c r="Q27" s="146" t="s">
        <v>102</v>
      </c>
      <c r="R27" s="156">
        <v>1</v>
      </c>
      <c r="S27" s="146" t="s">
        <v>127</v>
      </c>
      <c r="T27" s="146">
        <v>54</v>
      </c>
    </row>
    <row r="28" spans="1:20">
      <c r="A28" s="146" t="s">
        <v>472</v>
      </c>
      <c r="B28" s="146" t="s">
        <v>473</v>
      </c>
      <c r="C28" s="146">
        <v>2020</v>
      </c>
      <c r="D28" s="146" t="s">
        <v>114</v>
      </c>
      <c r="E28" s="146" t="s">
        <v>115</v>
      </c>
      <c r="F28" s="146" t="s">
        <v>585</v>
      </c>
      <c r="G28" s="146" t="s">
        <v>587</v>
      </c>
      <c r="H28" s="146" t="s">
        <v>210</v>
      </c>
      <c r="I28" s="146" t="s">
        <v>43</v>
      </c>
      <c r="J28" s="146" t="s">
        <v>359</v>
      </c>
      <c r="K28" s="146" t="s">
        <v>614</v>
      </c>
      <c r="L28" s="146" t="s">
        <v>616</v>
      </c>
      <c r="M28" s="146" t="s">
        <v>169</v>
      </c>
      <c r="N28" s="146" t="s">
        <v>42</v>
      </c>
      <c r="O28" s="146" t="s">
        <v>184</v>
      </c>
      <c r="P28" s="146" t="s">
        <v>50</v>
      </c>
      <c r="Q28" s="146" t="s">
        <v>103</v>
      </c>
      <c r="R28" s="156">
        <v>0</v>
      </c>
      <c r="S28" s="146" t="s">
        <v>127</v>
      </c>
      <c r="T28" s="146">
        <v>55</v>
      </c>
    </row>
    <row r="29" spans="1:20">
      <c r="A29" s="146" t="s">
        <v>472</v>
      </c>
      <c r="B29" s="146" t="s">
        <v>473</v>
      </c>
      <c r="C29" s="146">
        <v>2020</v>
      </c>
      <c r="D29" s="146" t="s">
        <v>114</v>
      </c>
      <c r="E29" s="146" t="s">
        <v>115</v>
      </c>
      <c r="F29" s="146" t="s">
        <v>585</v>
      </c>
      <c r="G29" s="146" t="s">
        <v>587</v>
      </c>
      <c r="H29" s="146" t="s">
        <v>614</v>
      </c>
      <c r="I29" s="146" t="s">
        <v>616</v>
      </c>
      <c r="J29" s="146" t="s">
        <v>359</v>
      </c>
      <c r="K29" s="146" t="s">
        <v>210</v>
      </c>
      <c r="L29" s="146" t="s">
        <v>43</v>
      </c>
      <c r="M29" s="146" t="s">
        <v>169</v>
      </c>
      <c r="N29" s="146" t="s">
        <v>42</v>
      </c>
      <c r="O29" s="146" t="s">
        <v>184</v>
      </c>
      <c r="P29" s="146" t="s">
        <v>50</v>
      </c>
      <c r="Q29" s="146" t="s">
        <v>103</v>
      </c>
      <c r="R29" s="156">
        <v>0</v>
      </c>
      <c r="S29" s="146" t="s">
        <v>127</v>
      </c>
      <c r="T29" s="146">
        <v>56</v>
      </c>
    </row>
    <row r="30" spans="1:20">
      <c r="A30" s="146" t="s">
        <v>474</v>
      </c>
      <c r="B30" s="146" t="s">
        <v>473</v>
      </c>
      <c r="C30" s="146">
        <v>2020</v>
      </c>
      <c r="D30" s="146" t="s">
        <v>117</v>
      </c>
      <c r="E30" s="146" t="s">
        <v>115</v>
      </c>
      <c r="F30" s="146" t="s">
        <v>585</v>
      </c>
      <c r="G30" s="146" t="s">
        <v>587</v>
      </c>
      <c r="H30" s="146" t="s">
        <v>177</v>
      </c>
      <c r="I30" s="146" t="s">
        <v>41</v>
      </c>
      <c r="J30" s="146" t="s">
        <v>362</v>
      </c>
      <c r="K30" s="146" t="s">
        <v>190</v>
      </c>
      <c r="L30" s="146" t="s">
        <v>51</v>
      </c>
      <c r="M30" s="146" t="s">
        <v>197</v>
      </c>
      <c r="N30" s="146" t="s">
        <v>44</v>
      </c>
      <c r="O30" s="146" t="s">
        <v>203</v>
      </c>
      <c r="P30" s="146" t="s">
        <v>52</v>
      </c>
      <c r="Q30" s="146" t="s">
        <v>102</v>
      </c>
      <c r="R30" s="156">
        <v>1</v>
      </c>
      <c r="S30" s="146" t="s">
        <v>128</v>
      </c>
      <c r="T30" s="146">
        <v>57</v>
      </c>
    </row>
    <row r="31" spans="1:20">
      <c r="A31" s="146" t="s">
        <v>474</v>
      </c>
      <c r="B31" s="146" t="s">
        <v>473</v>
      </c>
      <c r="C31" s="146">
        <v>2020</v>
      </c>
      <c r="D31" s="146" t="s">
        <v>117</v>
      </c>
      <c r="E31" s="146" t="s">
        <v>115</v>
      </c>
      <c r="F31" s="146" t="s">
        <v>585</v>
      </c>
      <c r="G31" s="146" t="s">
        <v>587</v>
      </c>
      <c r="H31" s="146" t="s">
        <v>190</v>
      </c>
      <c r="I31" s="146" t="s">
        <v>51</v>
      </c>
      <c r="J31" s="146" t="s">
        <v>362</v>
      </c>
      <c r="K31" s="146" t="s">
        <v>177</v>
      </c>
      <c r="L31" s="146" t="s">
        <v>41</v>
      </c>
      <c r="M31" s="146" t="s">
        <v>197</v>
      </c>
      <c r="N31" s="146" t="s">
        <v>44</v>
      </c>
      <c r="O31" s="146" t="s">
        <v>203</v>
      </c>
      <c r="P31" s="146" t="s">
        <v>52</v>
      </c>
      <c r="Q31" s="146" t="s">
        <v>102</v>
      </c>
      <c r="R31" s="156">
        <v>1</v>
      </c>
      <c r="S31" s="146" t="s">
        <v>128</v>
      </c>
      <c r="T31" s="146">
        <v>58</v>
      </c>
    </row>
    <row r="32" spans="1:20">
      <c r="A32" s="146" t="s">
        <v>474</v>
      </c>
      <c r="B32" s="146" t="s">
        <v>473</v>
      </c>
      <c r="C32" s="146">
        <v>2020</v>
      </c>
      <c r="D32" s="146" t="s">
        <v>117</v>
      </c>
      <c r="E32" s="146" t="s">
        <v>115</v>
      </c>
      <c r="F32" s="146" t="s">
        <v>585</v>
      </c>
      <c r="G32" s="146" t="s">
        <v>587</v>
      </c>
      <c r="H32" s="146" t="s">
        <v>197</v>
      </c>
      <c r="I32" s="146" t="s">
        <v>44</v>
      </c>
      <c r="J32" s="146" t="s">
        <v>359</v>
      </c>
      <c r="K32" s="146" t="s">
        <v>203</v>
      </c>
      <c r="L32" s="146" t="s">
        <v>52</v>
      </c>
      <c r="M32" s="146" t="s">
        <v>177</v>
      </c>
      <c r="N32" s="146" t="s">
        <v>41</v>
      </c>
      <c r="O32" s="146" t="s">
        <v>190</v>
      </c>
      <c r="P32" s="146" t="s">
        <v>51</v>
      </c>
      <c r="Q32" s="146" t="s">
        <v>103</v>
      </c>
      <c r="R32" s="156">
        <v>0</v>
      </c>
      <c r="S32" s="146" t="s">
        <v>128</v>
      </c>
      <c r="T32" s="146">
        <v>59</v>
      </c>
    </row>
    <row r="33" spans="1:20">
      <c r="A33" s="146" t="s">
        <v>474</v>
      </c>
      <c r="B33" s="146" t="s">
        <v>473</v>
      </c>
      <c r="C33" s="146">
        <v>2020</v>
      </c>
      <c r="D33" s="146" t="s">
        <v>117</v>
      </c>
      <c r="E33" s="146" t="s">
        <v>115</v>
      </c>
      <c r="F33" s="146" t="s">
        <v>585</v>
      </c>
      <c r="G33" s="146" t="s">
        <v>587</v>
      </c>
      <c r="H33" s="146" t="s">
        <v>203</v>
      </c>
      <c r="I33" s="146" t="s">
        <v>52</v>
      </c>
      <c r="J33" s="146" t="s">
        <v>359</v>
      </c>
      <c r="K33" s="146" t="s">
        <v>197</v>
      </c>
      <c r="L33" s="146" t="s">
        <v>44</v>
      </c>
      <c r="M33" s="146" t="s">
        <v>177</v>
      </c>
      <c r="N33" s="146" t="s">
        <v>41</v>
      </c>
      <c r="O33" s="146" t="s">
        <v>190</v>
      </c>
      <c r="P33" s="146" t="s">
        <v>51</v>
      </c>
      <c r="Q33" s="146" t="s">
        <v>103</v>
      </c>
      <c r="R33" s="156">
        <v>0</v>
      </c>
      <c r="S33" s="146" t="s">
        <v>128</v>
      </c>
      <c r="T33" s="146">
        <v>60</v>
      </c>
    </row>
    <row r="34" spans="1:20">
      <c r="A34" s="146" t="s">
        <v>475</v>
      </c>
      <c r="B34" s="146" t="s">
        <v>473</v>
      </c>
      <c r="C34" s="146">
        <v>2020</v>
      </c>
      <c r="D34" s="146" t="s">
        <v>119</v>
      </c>
      <c r="E34" s="146" t="s">
        <v>16</v>
      </c>
      <c r="F34" s="146" t="s">
        <v>585</v>
      </c>
      <c r="G34" s="171" t="s">
        <v>590</v>
      </c>
      <c r="H34" s="146" t="s">
        <v>177</v>
      </c>
      <c r="I34" s="146" t="s">
        <v>41</v>
      </c>
      <c r="J34" s="146" t="s">
        <v>362</v>
      </c>
      <c r="K34" s="146" t="s">
        <v>190</v>
      </c>
      <c r="L34" s="146" t="s">
        <v>51</v>
      </c>
      <c r="M34" s="146" t="s">
        <v>197</v>
      </c>
      <c r="N34" s="146" t="s">
        <v>44</v>
      </c>
      <c r="O34" s="146" t="s">
        <v>614</v>
      </c>
      <c r="P34" s="146" t="s">
        <v>616</v>
      </c>
      <c r="Q34" s="146" t="s">
        <v>103</v>
      </c>
      <c r="R34" s="156">
        <v>0</v>
      </c>
      <c r="S34" s="146" t="s">
        <v>129</v>
      </c>
      <c r="T34" s="146">
        <v>61</v>
      </c>
    </row>
    <row r="35" spans="1:20">
      <c r="A35" s="146" t="s">
        <v>475</v>
      </c>
      <c r="B35" s="146" t="s">
        <v>473</v>
      </c>
      <c r="C35" s="146">
        <v>2020</v>
      </c>
      <c r="D35" s="146" t="s">
        <v>119</v>
      </c>
      <c r="E35" s="146" t="s">
        <v>16</v>
      </c>
      <c r="F35" s="146" t="s">
        <v>585</v>
      </c>
      <c r="G35" s="171" t="s">
        <v>590</v>
      </c>
      <c r="H35" s="146" t="s">
        <v>190</v>
      </c>
      <c r="I35" s="146" t="s">
        <v>51</v>
      </c>
      <c r="J35" s="146" t="s">
        <v>362</v>
      </c>
      <c r="K35" s="146" t="s">
        <v>177</v>
      </c>
      <c r="L35" s="146" t="s">
        <v>41</v>
      </c>
      <c r="M35" s="146" t="s">
        <v>197</v>
      </c>
      <c r="N35" s="146" t="s">
        <v>44</v>
      </c>
      <c r="O35" s="146" t="s">
        <v>614</v>
      </c>
      <c r="P35" s="146" t="s">
        <v>616</v>
      </c>
      <c r="Q35" s="146" t="s">
        <v>103</v>
      </c>
      <c r="R35" s="156">
        <v>0</v>
      </c>
      <c r="S35" s="146" t="s">
        <v>129</v>
      </c>
      <c r="T35" s="146">
        <v>62</v>
      </c>
    </row>
    <row r="36" spans="1:20">
      <c r="A36" s="146" t="s">
        <v>475</v>
      </c>
      <c r="B36" s="146" t="s">
        <v>473</v>
      </c>
      <c r="C36" s="146">
        <v>2020</v>
      </c>
      <c r="D36" s="146" t="s">
        <v>119</v>
      </c>
      <c r="E36" s="146" t="s">
        <v>16</v>
      </c>
      <c r="F36" s="146" t="s">
        <v>585</v>
      </c>
      <c r="G36" s="171" t="s">
        <v>590</v>
      </c>
      <c r="H36" s="146" t="s">
        <v>197</v>
      </c>
      <c r="I36" s="146" t="s">
        <v>44</v>
      </c>
      <c r="J36" s="146" t="s">
        <v>359</v>
      </c>
      <c r="K36" s="146" t="s">
        <v>614</v>
      </c>
      <c r="L36" s="146" t="s">
        <v>616</v>
      </c>
      <c r="M36" s="146" t="s">
        <v>177</v>
      </c>
      <c r="N36" s="146" t="s">
        <v>41</v>
      </c>
      <c r="O36" s="146" t="s">
        <v>190</v>
      </c>
      <c r="P36" s="146" t="s">
        <v>51</v>
      </c>
      <c r="Q36" s="146" t="s">
        <v>102</v>
      </c>
      <c r="R36" s="156">
        <v>1</v>
      </c>
      <c r="S36" s="146" t="s">
        <v>129</v>
      </c>
      <c r="T36" s="146">
        <v>63</v>
      </c>
    </row>
    <row r="37" spans="1:20">
      <c r="A37" s="146" t="s">
        <v>475</v>
      </c>
      <c r="B37" s="146" t="s">
        <v>473</v>
      </c>
      <c r="C37" s="146">
        <v>2020</v>
      </c>
      <c r="D37" s="146" t="s">
        <v>119</v>
      </c>
      <c r="E37" s="146" t="s">
        <v>16</v>
      </c>
      <c r="F37" s="146" t="s">
        <v>585</v>
      </c>
      <c r="G37" s="171" t="s">
        <v>590</v>
      </c>
      <c r="H37" s="146" t="s">
        <v>614</v>
      </c>
      <c r="I37" s="146" t="s">
        <v>616</v>
      </c>
      <c r="J37" s="146" t="s">
        <v>359</v>
      </c>
      <c r="K37" s="146" t="s">
        <v>197</v>
      </c>
      <c r="L37" s="146" t="s">
        <v>44</v>
      </c>
      <c r="M37" s="146" t="s">
        <v>177</v>
      </c>
      <c r="N37" s="146" t="s">
        <v>41</v>
      </c>
      <c r="O37" s="146" t="s">
        <v>190</v>
      </c>
      <c r="P37" s="146" t="s">
        <v>51</v>
      </c>
      <c r="Q37" s="146" t="s">
        <v>102</v>
      </c>
      <c r="R37" s="156">
        <v>1</v>
      </c>
      <c r="S37" s="146" t="s">
        <v>129</v>
      </c>
      <c r="T37" s="146">
        <v>64</v>
      </c>
    </row>
    <row r="38" spans="1:20">
      <c r="A38" s="146" t="s">
        <v>476</v>
      </c>
      <c r="B38" s="146" t="s">
        <v>473</v>
      </c>
      <c r="C38" s="146">
        <v>2020</v>
      </c>
      <c r="D38" s="146" t="s">
        <v>121</v>
      </c>
      <c r="E38" s="146" t="s">
        <v>16</v>
      </c>
      <c r="F38" s="146" t="s">
        <v>585</v>
      </c>
      <c r="G38" s="171" t="s">
        <v>590</v>
      </c>
      <c r="H38" s="146" t="s">
        <v>169</v>
      </c>
      <c r="I38" s="146" t="s">
        <v>42</v>
      </c>
      <c r="J38" s="146" t="s">
        <v>362</v>
      </c>
      <c r="K38" s="146" t="s">
        <v>184</v>
      </c>
      <c r="L38" s="146" t="s">
        <v>50</v>
      </c>
      <c r="M38" s="146" t="s">
        <v>210</v>
      </c>
      <c r="N38" s="146" t="s">
        <v>43</v>
      </c>
      <c r="O38" s="146" t="s">
        <v>203</v>
      </c>
      <c r="P38" s="146" t="s">
        <v>52</v>
      </c>
      <c r="Q38" s="146" t="s">
        <v>103</v>
      </c>
      <c r="R38" s="156">
        <v>0</v>
      </c>
      <c r="S38" s="146" t="s">
        <v>126</v>
      </c>
      <c r="T38" s="146">
        <v>65</v>
      </c>
    </row>
    <row r="39" spans="1:20">
      <c r="A39" s="146" t="s">
        <v>476</v>
      </c>
      <c r="B39" s="146" t="s">
        <v>473</v>
      </c>
      <c r="C39" s="146">
        <v>2020</v>
      </c>
      <c r="D39" s="146" t="s">
        <v>121</v>
      </c>
      <c r="E39" s="146" t="s">
        <v>16</v>
      </c>
      <c r="F39" s="146" t="s">
        <v>585</v>
      </c>
      <c r="G39" s="171" t="s">
        <v>590</v>
      </c>
      <c r="H39" s="146" t="s">
        <v>184</v>
      </c>
      <c r="I39" s="146" t="s">
        <v>50</v>
      </c>
      <c r="J39" s="146" t="s">
        <v>362</v>
      </c>
      <c r="K39" s="146" t="s">
        <v>169</v>
      </c>
      <c r="L39" s="146" t="s">
        <v>42</v>
      </c>
      <c r="M39" s="146" t="s">
        <v>210</v>
      </c>
      <c r="N39" s="146" t="s">
        <v>43</v>
      </c>
      <c r="O39" s="146" t="s">
        <v>203</v>
      </c>
      <c r="P39" s="146" t="s">
        <v>52</v>
      </c>
      <c r="Q39" s="146" t="s">
        <v>103</v>
      </c>
      <c r="R39" s="156">
        <v>0</v>
      </c>
      <c r="S39" s="146" t="s">
        <v>126</v>
      </c>
      <c r="T39" s="146">
        <v>66</v>
      </c>
    </row>
    <row r="40" spans="1:20">
      <c r="A40" s="146" t="s">
        <v>476</v>
      </c>
      <c r="B40" s="146" t="s">
        <v>473</v>
      </c>
      <c r="C40" s="146">
        <v>2020</v>
      </c>
      <c r="D40" s="146" t="s">
        <v>121</v>
      </c>
      <c r="E40" s="146" t="s">
        <v>16</v>
      </c>
      <c r="F40" s="146" t="s">
        <v>585</v>
      </c>
      <c r="G40" s="171" t="s">
        <v>590</v>
      </c>
      <c r="H40" s="146" t="s">
        <v>210</v>
      </c>
      <c r="I40" s="146" t="s">
        <v>43</v>
      </c>
      <c r="J40" s="146" t="s">
        <v>359</v>
      </c>
      <c r="K40" s="146" t="s">
        <v>203</v>
      </c>
      <c r="L40" s="146" t="s">
        <v>52</v>
      </c>
      <c r="M40" s="146" t="s">
        <v>169</v>
      </c>
      <c r="N40" s="146" t="s">
        <v>42</v>
      </c>
      <c r="O40" s="146" t="s">
        <v>184</v>
      </c>
      <c r="P40" s="146" t="s">
        <v>50</v>
      </c>
      <c r="Q40" s="146" t="s">
        <v>102</v>
      </c>
      <c r="R40" s="156">
        <v>1</v>
      </c>
      <c r="S40" s="146" t="s">
        <v>126</v>
      </c>
      <c r="T40" s="146">
        <v>67</v>
      </c>
    </row>
    <row r="41" spans="1:20">
      <c r="A41" s="146" t="s">
        <v>476</v>
      </c>
      <c r="B41" s="146" t="s">
        <v>473</v>
      </c>
      <c r="C41" s="146">
        <v>2020</v>
      </c>
      <c r="D41" s="146" t="s">
        <v>121</v>
      </c>
      <c r="E41" s="146" t="s">
        <v>16</v>
      </c>
      <c r="F41" s="146" t="s">
        <v>585</v>
      </c>
      <c r="G41" s="171" t="s">
        <v>590</v>
      </c>
      <c r="H41" s="146" t="s">
        <v>203</v>
      </c>
      <c r="I41" s="146" t="s">
        <v>52</v>
      </c>
      <c r="J41" s="146" t="s">
        <v>359</v>
      </c>
      <c r="K41" s="146" t="s">
        <v>210</v>
      </c>
      <c r="L41" s="146" t="s">
        <v>43</v>
      </c>
      <c r="M41" s="146" t="s">
        <v>169</v>
      </c>
      <c r="N41" s="146" t="s">
        <v>42</v>
      </c>
      <c r="O41" s="146" t="s">
        <v>184</v>
      </c>
      <c r="P41" s="146" t="s">
        <v>50</v>
      </c>
      <c r="Q41" s="146" t="s">
        <v>102</v>
      </c>
      <c r="R41" s="156">
        <v>1</v>
      </c>
      <c r="S41" s="146" t="s">
        <v>126</v>
      </c>
      <c r="T41" s="146">
        <v>68</v>
      </c>
    </row>
    <row r="42" spans="1:20">
      <c r="A42" s="146" t="s">
        <v>477</v>
      </c>
      <c r="B42" s="146" t="s">
        <v>473</v>
      </c>
      <c r="C42" s="146">
        <v>2020</v>
      </c>
      <c r="D42" s="146" t="s">
        <v>123</v>
      </c>
      <c r="E42" s="146" t="s">
        <v>124</v>
      </c>
      <c r="F42" s="146" t="s">
        <v>586</v>
      </c>
      <c r="G42" s="171" t="s">
        <v>591</v>
      </c>
      <c r="H42" s="146" t="s">
        <v>184</v>
      </c>
      <c r="I42" s="146" t="s">
        <v>50</v>
      </c>
      <c r="J42" s="146" t="s">
        <v>362</v>
      </c>
      <c r="K42" s="146"/>
      <c r="L42" s="146"/>
      <c r="M42" s="146" t="s">
        <v>614</v>
      </c>
      <c r="N42" s="146" t="s">
        <v>616</v>
      </c>
      <c r="O42" s="146"/>
      <c r="P42" s="146"/>
      <c r="Q42" s="146" t="s">
        <v>103</v>
      </c>
      <c r="R42" s="156">
        <v>0</v>
      </c>
      <c r="S42" s="146" t="s">
        <v>129</v>
      </c>
      <c r="T42" s="146">
        <v>73</v>
      </c>
    </row>
    <row r="43" spans="1:20">
      <c r="A43" s="146" t="s">
        <v>477</v>
      </c>
      <c r="B43" s="146" t="s">
        <v>473</v>
      </c>
      <c r="C43" s="146">
        <v>2020</v>
      </c>
      <c r="D43" s="146" t="s">
        <v>123</v>
      </c>
      <c r="E43" s="146" t="s">
        <v>124</v>
      </c>
      <c r="F43" s="146" t="s">
        <v>586</v>
      </c>
      <c r="G43" s="171" t="s">
        <v>591</v>
      </c>
      <c r="H43" s="146" t="s">
        <v>614</v>
      </c>
      <c r="I43" s="146" t="s">
        <v>616</v>
      </c>
      <c r="J43" s="146" t="s">
        <v>359</v>
      </c>
      <c r="K43" s="146"/>
      <c r="L43" s="146"/>
      <c r="M43" s="146" t="s">
        <v>184</v>
      </c>
      <c r="N43" s="146" t="s">
        <v>50</v>
      </c>
      <c r="O43" s="146"/>
      <c r="P43" s="146"/>
      <c r="Q43" s="146" t="s">
        <v>102</v>
      </c>
      <c r="R43" s="156">
        <v>2</v>
      </c>
      <c r="S43" s="146" t="s">
        <v>129</v>
      </c>
      <c r="T43" s="146">
        <v>74</v>
      </c>
    </row>
    <row r="44" spans="1:20">
      <c r="A44" s="146" t="s">
        <v>478</v>
      </c>
      <c r="B44" s="146" t="s">
        <v>473</v>
      </c>
      <c r="C44" s="146">
        <v>2020</v>
      </c>
      <c r="D44" s="146" t="s">
        <v>123</v>
      </c>
      <c r="E44" s="146" t="s">
        <v>124</v>
      </c>
      <c r="F44" s="146" t="s">
        <v>586</v>
      </c>
      <c r="G44" s="171" t="s">
        <v>591</v>
      </c>
      <c r="H44" s="146" t="s">
        <v>190</v>
      </c>
      <c r="I44" s="146" t="s">
        <v>51</v>
      </c>
      <c r="J44" s="146" t="s">
        <v>362</v>
      </c>
      <c r="K44" s="146"/>
      <c r="L44" s="146"/>
      <c r="M44" s="146" t="s">
        <v>203</v>
      </c>
      <c r="N44" s="146" t="s">
        <v>52</v>
      </c>
      <c r="O44" s="146"/>
      <c r="P44" s="146"/>
      <c r="Q44" s="146" t="s">
        <v>102</v>
      </c>
      <c r="R44" s="156">
        <v>2</v>
      </c>
      <c r="S44" s="146" t="s">
        <v>127</v>
      </c>
      <c r="T44" s="146">
        <v>75</v>
      </c>
    </row>
    <row r="45" spans="1:20">
      <c r="A45" s="146" t="s">
        <v>478</v>
      </c>
      <c r="B45" s="146" t="s">
        <v>473</v>
      </c>
      <c r="C45" s="146">
        <v>2020</v>
      </c>
      <c r="D45" s="146" t="s">
        <v>123</v>
      </c>
      <c r="E45" s="146" t="s">
        <v>124</v>
      </c>
      <c r="F45" s="146" t="s">
        <v>586</v>
      </c>
      <c r="G45" s="171" t="s">
        <v>591</v>
      </c>
      <c r="H45" s="146" t="s">
        <v>203</v>
      </c>
      <c r="I45" s="146" t="s">
        <v>52</v>
      </c>
      <c r="J45" s="146" t="s">
        <v>359</v>
      </c>
      <c r="K45" s="146"/>
      <c r="L45" s="146"/>
      <c r="M45" s="146" t="s">
        <v>190</v>
      </c>
      <c r="N45" s="146" t="s">
        <v>51</v>
      </c>
      <c r="O45" s="146"/>
      <c r="P45" s="146"/>
      <c r="Q45" s="146" t="s">
        <v>103</v>
      </c>
      <c r="R45" s="156">
        <v>0</v>
      </c>
      <c r="S45" s="146" t="s">
        <v>127</v>
      </c>
      <c r="T45" s="146">
        <v>76</v>
      </c>
    </row>
    <row r="46" spans="1:20">
      <c r="A46" s="146" t="s">
        <v>479</v>
      </c>
      <c r="B46" s="146" t="s">
        <v>473</v>
      </c>
      <c r="C46" s="146">
        <v>2020</v>
      </c>
      <c r="D46" s="146" t="s">
        <v>123</v>
      </c>
      <c r="E46" s="146" t="s">
        <v>124</v>
      </c>
      <c r="F46" s="146" t="s">
        <v>586</v>
      </c>
      <c r="G46" s="171" t="s">
        <v>591</v>
      </c>
      <c r="H46" s="146" t="s">
        <v>169</v>
      </c>
      <c r="I46" s="146" t="s">
        <v>42</v>
      </c>
      <c r="J46" s="146" t="s">
        <v>362</v>
      </c>
      <c r="K46" s="146"/>
      <c r="L46" s="146"/>
      <c r="M46" s="146" t="s">
        <v>210</v>
      </c>
      <c r="N46" s="146" t="s">
        <v>43</v>
      </c>
      <c r="O46" s="146"/>
      <c r="P46" s="146"/>
      <c r="Q46" s="146" t="s">
        <v>102</v>
      </c>
      <c r="R46" s="156">
        <v>2</v>
      </c>
      <c r="S46" s="146" t="s">
        <v>128</v>
      </c>
      <c r="T46" s="146">
        <v>71</v>
      </c>
    </row>
    <row r="47" spans="1:20">
      <c r="A47" s="146" t="s">
        <v>479</v>
      </c>
      <c r="B47" s="146" t="s">
        <v>473</v>
      </c>
      <c r="C47" s="146">
        <v>2020</v>
      </c>
      <c r="D47" s="146" t="s">
        <v>123</v>
      </c>
      <c r="E47" s="146" t="s">
        <v>124</v>
      </c>
      <c r="F47" s="146" t="s">
        <v>586</v>
      </c>
      <c r="G47" s="171" t="s">
        <v>591</v>
      </c>
      <c r="H47" s="146" t="s">
        <v>210</v>
      </c>
      <c r="I47" s="146" t="s">
        <v>43</v>
      </c>
      <c r="J47" s="146" t="s">
        <v>359</v>
      </c>
      <c r="K47" s="146"/>
      <c r="L47" s="146"/>
      <c r="M47" s="146" t="s">
        <v>169</v>
      </c>
      <c r="N47" s="146" t="s">
        <v>42</v>
      </c>
      <c r="O47" s="146"/>
      <c r="P47" s="146"/>
      <c r="Q47" s="146" t="s">
        <v>103</v>
      </c>
      <c r="R47" s="156">
        <v>0</v>
      </c>
      <c r="S47" s="146" t="s">
        <v>128</v>
      </c>
      <c r="T47" s="146">
        <v>72</v>
      </c>
    </row>
    <row r="48" spans="1:20">
      <c r="A48" s="146" t="s">
        <v>480</v>
      </c>
      <c r="B48" s="146" t="s">
        <v>473</v>
      </c>
      <c r="C48" s="146">
        <v>2020</v>
      </c>
      <c r="D48" s="146" t="s">
        <v>123</v>
      </c>
      <c r="E48" s="146" t="s">
        <v>124</v>
      </c>
      <c r="F48" s="146" t="s">
        <v>586</v>
      </c>
      <c r="G48" s="171" t="s">
        <v>591</v>
      </c>
      <c r="H48" s="146" t="s">
        <v>177</v>
      </c>
      <c r="I48" s="146" t="s">
        <v>41</v>
      </c>
      <c r="J48" s="146" t="s">
        <v>362</v>
      </c>
      <c r="K48" s="146"/>
      <c r="L48" s="146"/>
      <c r="M48" s="146" t="s">
        <v>197</v>
      </c>
      <c r="N48" s="146" t="s">
        <v>44</v>
      </c>
      <c r="O48" s="146"/>
      <c r="P48" s="146"/>
      <c r="Q48" s="146" t="s">
        <v>102</v>
      </c>
      <c r="R48" s="156">
        <v>2</v>
      </c>
      <c r="S48" s="146" t="s">
        <v>130</v>
      </c>
      <c r="T48" s="146">
        <v>69</v>
      </c>
    </row>
    <row r="49" spans="1:20">
      <c r="A49" s="146" t="s">
        <v>480</v>
      </c>
      <c r="B49" s="146" t="s">
        <v>473</v>
      </c>
      <c r="C49" s="146">
        <v>2020</v>
      </c>
      <c r="D49" s="146" t="s">
        <v>123</v>
      </c>
      <c r="E49" s="146" t="s">
        <v>124</v>
      </c>
      <c r="F49" s="146" t="s">
        <v>586</v>
      </c>
      <c r="G49" s="171" t="s">
        <v>591</v>
      </c>
      <c r="H49" s="146" t="s">
        <v>197</v>
      </c>
      <c r="I49" s="146" t="s">
        <v>44</v>
      </c>
      <c r="J49" s="146" t="s">
        <v>359</v>
      </c>
      <c r="K49" s="146"/>
      <c r="L49" s="146"/>
      <c r="M49" s="146" t="s">
        <v>177</v>
      </c>
      <c r="N49" s="146" t="s">
        <v>41</v>
      </c>
      <c r="O49" s="146"/>
      <c r="P49" s="146"/>
      <c r="Q49" s="146" t="s">
        <v>103</v>
      </c>
      <c r="R49" s="156">
        <v>0</v>
      </c>
      <c r="S49" s="146" t="s">
        <v>130</v>
      </c>
      <c r="T49" s="146">
        <v>70</v>
      </c>
    </row>
    <row r="50" spans="1:20">
      <c r="A50" s="146" t="s">
        <v>481</v>
      </c>
      <c r="B50" s="146" t="s">
        <v>482</v>
      </c>
      <c r="C50" s="146">
        <v>2021</v>
      </c>
      <c r="D50" s="146" t="s">
        <v>114</v>
      </c>
      <c r="E50" s="146" t="s">
        <v>115</v>
      </c>
      <c r="F50" s="146" t="s">
        <v>585</v>
      </c>
      <c r="G50" s="146" t="s">
        <v>587</v>
      </c>
      <c r="H50" s="146" t="s">
        <v>169</v>
      </c>
      <c r="I50" s="146" t="s">
        <v>42</v>
      </c>
      <c r="J50" s="146" t="s">
        <v>362</v>
      </c>
      <c r="K50" s="146" t="s">
        <v>184</v>
      </c>
      <c r="L50" s="146" t="s">
        <v>50</v>
      </c>
      <c r="M50" s="146" t="s">
        <v>614</v>
      </c>
      <c r="N50" s="146" t="s">
        <v>616</v>
      </c>
      <c r="O50" s="146" t="s">
        <v>197</v>
      </c>
      <c r="P50" s="146" t="s">
        <v>44</v>
      </c>
      <c r="Q50" s="146" t="s">
        <v>103</v>
      </c>
      <c r="R50" s="156">
        <v>0</v>
      </c>
      <c r="S50" s="146" t="s">
        <v>131</v>
      </c>
      <c r="T50" s="146">
        <v>77</v>
      </c>
    </row>
    <row r="51" spans="1:20">
      <c r="A51" s="146" t="s">
        <v>481</v>
      </c>
      <c r="B51" s="146" t="s">
        <v>482</v>
      </c>
      <c r="C51" s="146">
        <v>2021</v>
      </c>
      <c r="D51" s="146" t="s">
        <v>114</v>
      </c>
      <c r="E51" s="146" t="s">
        <v>115</v>
      </c>
      <c r="F51" s="146" t="s">
        <v>585</v>
      </c>
      <c r="G51" s="146" t="s">
        <v>587</v>
      </c>
      <c r="H51" s="146" t="s">
        <v>184</v>
      </c>
      <c r="I51" s="146" t="s">
        <v>50</v>
      </c>
      <c r="J51" s="146" t="s">
        <v>362</v>
      </c>
      <c r="K51" s="146" t="s">
        <v>169</v>
      </c>
      <c r="L51" s="146" t="s">
        <v>42</v>
      </c>
      <c r="M51" s="146" t="s">
        <v>614</v>
      </c>
      <c r="N51" s="146" t="s">
        <v>616</v>
      </c>
      <c r="O51" s="146" t="s">
        <v>197</v>
      </c>
      <c r="P51" s="146" t="s">
        <v>44</v>
      </c>
      <c r="Q51" s="146" t="s">
        <v>103</v>
      </c>
      <c r="R51" s="156">
        <v>0</v>
      </c>
      <c r="S51" s="146" t="s">
        <v>131</v>
      </c>
      <c r="T51" s="146">
        <v>78</v>
      </c>
    </row>
    <row r="52" spans="1:20">
      <c r="A52" s="146" t="s">
        <v>481</v>
      </c>
      <c r="B52" s="146" t="s">
        <v>482</v>
      </c>
      <c r="C52" s="146">
        <v>2021</v>
      </c>
      <c r="D52" s="146" t="s">
        <v>114</v>
      </c>
      <c r="E52" s="146" t="s">
        <v>115</v>
      </c>
      <c r="F52" s="146" t="s">
        <v>585</v>
      </c>
      <c r="G52" s="146" t="s">
        <v>587</v>
      </c>
      <c r="H52" s="146" t="s">
        <v>614</v>
      </c>
      <c r="I52" s="146" t="s">
        <v>616</v>
      </c>
      <c r="J52" s="146" t="s">
        <v>359</v>
      </c>
      <c r="K52" s="146" t="s">
        <v>197</v>
      </c>
      <c r="L52" s="146" t="s">
        <v>44</v>
      </c>
      <c r="M52" s="146" t="s">
        <v>169</v>
      </c>
      <c r="N52" s="146" t="s">
        <v>42</v>
      </c>
      <c r="O52" s="146" t="s">
        <v>184</v>
      </c>
      <c r="P52" s="146" t="s">
        <v>50</v>
      </c>
      <c r="Q52" s="146" t="s">
        <v>102</v>
      </c>
      <c r="R52" s="156">
        <v>1</v>
      </c>
      <c r="S52" s="146" t="s">
        <v>131</v>
      </c>
      <c r="T52" s="146">
        <v>79</v>
      </c>
    </row>
    <row r="53" spans="1:20">
      <c r="A53" s="146" t="s">
        <v>481</v>
      </c>
      <c r="B53" s="146" t="s">
        <v>482</v>
      </c>
      <c r="C53" s="146">
        <v>2021</v>
      </c>
      <c r="D53" s="146" t="s">
        <v>114</v>
      </c>
      <c r="E53" s="146" t="s">
        <v>115</v>
      </c>
      <c r="F53" s="146" t="s">
        <v>585</v>
      </c>
      <c r="G53" s="146" t="s">
        <v>587</v>
      </c>
      <c r="H53" s="146" t="s">
        <v>197</v>
      </c>
      <c r="I53" s="146" t="s">
        <v>44</v>
      </c>
      <c r="J53" s="146" t="s">
        <v>359</v>
      </c>
      <c r="K53" s="146" t="s">
        <v>614</v>
      </c>
      <c r="L53" s="146" t="s">
        <v>616</v>
      </c>
      <c r="M53" s="146" t="s">
        <v>169</v>
      </c>
      <c r="N53" s="146" t="s">
        <v>42</v>
      </c>
      <c r="O53" s="146" t="s">
        <v>184</v>
      </c>
      <c r="P53" s="146" t="s">
        <v>50</v>
      </c>
      <c r="Q53" s="146" t="s">
        <v>102</v>
      </c>
      <c r="R53" s="156">
        <v>1</v>
      </c>
      <c r="S53" s="146" t="s">
        <v>131</v>
      </c>
      <c r="T53" s="146">
        <v>80</v>
      </c>
    </row>
    <row r="54" spans="1:20">
      <c r="A54" s="146" t="s">
        <v>483</v>
      </c>
      <c r="B54" s="146" t="s">
        <v>482</v>
      </c>
      <c r="C54" s="146">
        <v>2021</v>
      </c>
      <c r="D54" s="146" t="s">
        <v>117</v>
      </c>
      <c r="E54" s="146" t="s">
        <v>115</v>
      </c>
      <c r="F54" s="146" t="s">
        <v>585</v>
      </c>
      <c r="G54" s="146" t="s">
        <v>587</v>
      </c>
      <c r="H54" s="146" t="s">
        <v>177</v>
      </c>
      <c r="I54" s="146" t="s">
        <v>41</v>
      </c>
      <c r="J54" s="146" t="s">
        <v>362</v>
      </c>
      <c r="K54" s="146" t="s">
        <v>190</v>
      </c>
      <c r="L54" s="146" t="s">
        <v>51</v>
      </c>
      <c r="M54" s="146" t="s">
        <v>210</v>
      </c>
      <c r="N54" s="146" t="s">
        <v>43</v>
      </c>
      <c r="O54" s="146" t="s">
        <v>203</v>
      </c>
      <c r="P54" s="146" t="s">
        <v>52</v>
      </c>
      <c r="Q54" s="146" t="s">
        <v>103</v>
      </c>
      <c r="R54" s="156">
        <v>0</v>
      </c>
      <c r="S54" s="146" t="s">
        <v>126</v>
      </c>
      <c r="T54" s="146">
        <v>81</v>
      </c>
    </row>
    <row r="55" spans="1:20">
      <c r="A55" s="146" t="s">
        <v>483</v>
      </c>
      <c r="B55" s="146" t="s">
        <v>482</v>
      </c>
      <c r="C55" s="146">
        <v>2021</v>
      </c>
      <c r="D55" s="146" t="s">
        <v>117</v>
      </c>
      <c r="E55" s="146" t="s">
        <v>115</v>
      </c>
      <c r="F55" s="146" t="s">
        <v>585</v>
      </c>
      <c r="G55" s="146" t="s">
        <v>587</v>
      </c>
      <c r="H55" s="146" t="s">
        <v>190</v>
      </c>
      <c r="I55" s="146" t="s">
        <v>51</v>
      </c>
      <c r="J55" s="146" t="s">
        <v>362</v>
      </c>
      <c r="K55" s="146" t="s">
        <v>177</v>
      </c>
      <c r="L55" s="146" t="s">
        <v>41</v>
      </c>
      <c r="M55" s="146" t="s">
        <v>210</v>
      </c>
      <c r="N55" s="146" t="s">
        <v>43</v>
      </c>
      <c r="O55" s="146" t="s">
        <v>203</v>
      </c>
      <c r="P55" s="146" t="s">
        <v>52</v>
      </c>
      <c r="Q55" s="146" t="s">
        <v>103</v>
      </c>
      <c r="R55" s="156">
        <v>0</v>
      </c>
      <c r="S55" s="146" t="s">
        <v>126</v>
      </c>
      <c r="T55" s="146">
        <v>82</v>
      </c>
    </row>
    <row r="56" spans="1:20">
      <c r="A56" s="146" t="s">
        <v>483</v>
      </c>
      <c r="B56" s="146" t="s">
        <v>482</v>
      </c>
      <c r="C56" s="146">
        <v>2021</v>
      </c>
      <c r="D56" s="146" t="s">
        <v>117</v>
      </c>
      <c r="E56" s="146" t="s">
        <v>115</v>
      </c>
      <c r="F56" s="146" t="s">
        <v>585</v>
      </c>
      <c r="G56" s="146" t="s">
        <v>587</v>
      </c>
      <c r="H56" s="146" t="s">
        <v>210</v>
      </c>
      <c r="I56" s="146" t="s">
        <v>43</v>
      </c>
      <c r="J56" s="146" t="s">
        <v>359</v>
      </c>
      <c r="K56" s="146" t="s">
        <v>203</v>
      </c>
      <c r="L56" s="146" t="s">
        <v>52</v>
      </c>
      <c r="M56" s="146" t="s">
        <v>177</v>
      </c>
      <c r="N56" s="146" t="s">
        <v>41</v>
      </c>
      <c r="O56" s="146" t="s">
        <v>190</v>
      </c>
      <c r="P56" s="146" t="s">
        <v>51</v>
      </c>
      <c r="Q56" s="146" t="s">
        <v>102</v>
      </c>
      <c r="R56" s="156">
        <v>1</v>
      </c>
      <c r="S56" s="146" t="s">
        <v>126</v>
      </c>
      <c r="T56" s="146">
        <v>83</v>
      </c>
    </row>
    <row r="57" spans="1:20">
      <c r="A57" s="146" t="s">
        <v>483</v>
      </c>
      <c r="B57" s="146" t="s">
        <v>482</v>
      </c>
      <c r="C57" s="146">
        <v>2021</v>
      </c>
      <c r="D57" s="146" t="s">
        <v>117</v>
      </c>
      <c r="E57" s="146" t="s">
        <v>115</v>
      </c>
      <c r="F57" s="146" t="s">
        <v>585</v>
      </c>
      <c r="G57" s="146" t="s">
        <v>587</v>
      </c>
      <c r="H57" s="146" t="s">
        <v>203</v>
      </c>
      <c r="I57" s="146" t="s">
        <v>52</v>
      </c>
      <c r="J57" s="146" t="s">
        <v>359</v>
      </c>
      <c r="K57" s="146" t="s">
        <v>210</v>
      </c>
      <c r="L57" s="146" t="s">
        <v>43</v>
      </c>
      <c r="M57" s="146" t="s">
        <v>177</v>
      </c>
      <c r="N57" s="146" t="s">
        <v>41</v>
      </c>
      <c r="O57" s="146" t="s">
        <v>190</v>
      </c>
      <c r="P57" s="146" t="s">
        <v>51</v>
      </c>
      <c r="Q57" s="146" t="s">
        <v>102</v>
      </c>
      <c r="R57" s="156">
        <v>1</v>
      </c>
      <c r="S57" s="146" t="s">
        <v>126</v>
      </c>
      <c r="T57" s="146">
        <v>84</v>
      </c>
    </row>
    <row r="58" spans="1:20">
      <c r="A58" s="146" t="s">
        <v>484</v>
      </c>
      <c r="B58" s="146" t="s">
        <v>482</v>
      </c>
      <c r="C58" s="146">
        <v>2021</v>
      </c>
      <c r="D58" s="146" t="s">
        <v>119</v>
      </c>
      <c r="E58" s="146" t="s">
        <v>16</v>
      </c>
      <c r="F58" s="146" t="s">
        <v>585</v>
      </c>
      <c r="G58" s="171" t="s">
        <v>592</v>
      </c>
      <c r="H58" s="146" t="s">
        <v>169</v>
      </c>
      <c r="I58" s="146" t="s">
        <v>42</v>
      </c>
      <c r="J58" s="146" t="s">
        <v>362</v>
      </c>
      <c r="K58" s="146" t="s">
        <v>190</v>
      </c>
      <c r="L58" s="146" t="s">
        <v>51</v>
      </c>
      <c r="M58" s="146" t="s">
        <v>210</v>
      </c>
      <c r="N58" s="146" t="s">
        <v>43</v>
      </c>
      <c r="O58" s="146" t="s">
        <v>203</v>
      </c>
      <c r="P58" s="146" t="s">
        <v>52</v>
      </c>
      <c r="Q58" s="146" t="s">
        <v>103</v>
      </c>
      <c r="R58" s="156">
        <v>0</v>
      </c>
      <c r="S58" s="146" t="s">
        <v>132</v>
      </c>
      <c r="T58" s="146">
        <v>85</v>
      </c>
    </row>
    <row r="59" spans="1:20">
      <c r="A59" s="146" t="s">
        <v>484</v>
      </c>
      <c r="B59" s="146" t="s">
        <v>482</v>
      </c>
      <c r="C59" s="146">
        <v>2021</v>
      </c>
      <c r="D59" s="146" t="s">
        <v>119</v>
      </c>
      <c r="E59" s="146" t="s">
        <v>16</v>
      </c>
      <c r="F59" s="146" t="s">
        <v>585</v>
      </c>
      <c r="G59" s="171" t="s">
        <v>592</v>
      </c>
      <c r="H59" s="146" t="s">
        <v>190</v>
      </c>
      <c r="I59" s="146" t="s">
        <v>51</v>
      </c>
      <c r="J59" s="146" t="s">
        <v>362</v>
      </c>
      <c r="K59" s="146" t="s">
        <v>169</v>
      </c>
      <c r="L59" s="146" t="s">
        <v>42</v>
      </c>
      <c r="M59" s="146" t="s">
        <v>210</v>
      </c>
      <c r="N59" s="146" t="s">
        <v>43</v>
      </c>
      <c r="O59" s="146" t="s">
        <v>203</v>
      </c>
      <c r="P59" s="146" t="s">
        <v>52</v>
      </c>
      <c r="Q59" s="146" t="s">
        <v>103</v>
      </c>
      <c r="R59" s="156">
        <v>0</v>
      </c>
      <c r="S59" s="146" t="s">
        <v>132</v>
      </c>
      <c r="T59" s="146">
        <v>86</v>
      </c>
    </row>
    <row r="60" spans="1:20">
      <c r="A60" s="146" t="s">
        <v>484</v>
      </c>
      <c r="B60" s="146" t="s">
        <v>482</v>
      </c>
      <c r="C60" s="146">
        <v>2021</v>
      </c>
      <c r="D60" s="146" t="s">
        <v>119</v>
      </c>
      <c r="E60" s="146" t="s">
        <v>16</v>
      </c>
      <c r="F60" s="146" t="s">
        <v>585</v>
      </c>
      <c r="G60" s="171" t="s">
        <v>592</v>
      </c>
      <c r="H60" s="146" t="s">
        <v>210</v>
      </c>
      <c r="I60" s="146" t="s">
        <v>43</v>
      </c>
      <c r="J60" s="146" t="s">
        <v>359</v>
      </c>
      <c r="K60" s="146" t="s">
        <v>203</v>
      </c>
      <c r="L60" s="146" t="s">
        <v>52</v>
      </c>
      <c r="M60" s="146" t="s">
        <v>169</v>
      </c>
      <c r="N60" s="146" t="s">
        <v>42</v>
      </c>
      <c r="O60" s="146" t="s">
        <v>190</v>
      </c>
      <c r="P60" s="146" t="s">
        <v>51</v>
      </c>
      <c r="Q60" s="146" t="s">
        <v>102</v>
      </c>
      <c r="R60" s="156">
        <v>1</v>
      </c>
      <c r="S60" s="146" t="s">
        <v>132</v>
      </c>
      <c r="T60" s="146">
        <v>87</v>
      </c>
    </row>
    <row r="61" spans="1:20">
      <c r="A61" s="146" t="s">
        <v>484</v>
      </c>
      <c r="B61" s="146" t="s">
        <v>482</v>
      </c>
      <c r="C61" s="146">
        <v>2021</v>
      </c>
      <c r="D61" s="146" t="s">
        <v>119</v>
      </c>
      <c r="E61" s="146" t="s">
        <v>16</v>
      </c>
      <c r="F61" s="146" t="s">
        <v>585</v>
      </c>
      <c r="G61" s="171" t="s">
        <v>592</v>
      </c>
      <c r="H61" s="146" t="s">
        <v>203</v>
      </c>
      <c r="I61" s="146" t="s">
        <v>52</v>
      </c>
      <c r="J61" s="146" t="s">
        <v>359</v>
      </c>
      <c r="K61" s="146" t="s">
        <v>210</v>
      </c>
      <c r="L61" s="146" t="s">
        <v>43</v>
      </c>
      <c r="M61" s="146" t="s">
        <v>169</v>
      </c>
      <c r="N61" s="146" t="s">
        <v>42</v>
      </c>
      <c r="O61" s="146" t="s">
        <v>190</v>
      </c>
      <c r="P61" s="146" t="s">
        <v>51</v>
      </c>
      <c r="Q61" s="146" t="s">
        <v>102</v>
      </c>
      <c r="R61" s="156">
        <v>1</v>
      </c>
      <c r="S61" s="146" t="s">
        <v>132</v>
      </c>
      <c r="T61" s="146">
        <v>88</v>
      </c>
    </row>
    <row r="62" spans="1:20">
      <c r="A62" s="146" t="s">
        <v>485</v>
      </c>
      <c r="B62" s="146" t="s">
        <v>482</v>
      </c>
      <c r="C62" s="146">
        <v>2021</v>
      </c>
      <c r="D62" s="146" t="s">
        <v>121</v>
      </c>
      <c r="E62" s="146" t="s">
        <v>16</v>
      </c>
      <c r="F62" s="146" t="s">
        <v>585</v>
      </c>
      <c r="G62" s="171" t="s">
        <v>592</v>
      </c>
      <c r="H62" s="146" t="s">
        <v>184</v>
      </c>
      <c r="I62" s="146" t="s">
        <v>50</v>
      </c>
      <c r="J62" s="146" t="s">
        <v>362</v>
      </c>
      <c r="K62" s="146" t="s">
        <v>177</v>
      </c>
      <c r="L62" s="146" t="s">
        <v>41</v>
      </c>
      <c r="M62" s="146" t="s">
        <v>614</v>
      </c>
      <c r="N62" s="146" t="s">
        <v>616</v>
      </c>
      <c r="O62" s="146" t="s">
        <v>197</v>
      </c>
      <c r="P62" s="146" t="s">
        <v>44</v>
      </c>
      <c r="Q62" s="146" t="s">
        <v>102</v>
      </c>
      <c r="R62" s="156">
        <v>1</v>
      </c>
      <c r="S62" s="146" t="s">
        <v>133</v>
      </c>
      <c r="T62" s="146">
        <v>89</v>
      </c>
    </row>
    <row r="63" spans="1:20">
      <c r="A63" s="146" t="s">
        <v>485</v>
      </c>
      <c r="B63" s="146" t="s">
        <v>482</v>
      </c>
      <c r="C63" s="146">
        <v>2021</v>
      </c>
      <c r="D63" s="146" t="s">
        <v>121</v>
      </c>
      <c r="E63" s="146" t="s">
        <v>16</v>
      </c>
      <c r="F63" s="146" t="s">
        <v>585</v>
      </c>
      <c r="G63" s="171" t="s">
        <v>592</v>
      </c>
      <c r="H63" s="146" t="s">
        <v>177</v>
      </c>
      <c r="I63" s="146" t="s">
        <v>41</v>
      </c>
      <c r="J63" s="146" t="s">
        <v>362</v>
      </c>
      <c r="K63" s="146" t="s">
        <v>184</v>
      </c>
      <c r="L63" s="146" t="s">
        <v>50</v>
      </c>
      <c r="M63" s="146" t="s">
        <v>614</v>
      </c>
      <c r="N63" s="146" t="s">
        <v>616</v>
      </c>
      <c r="O63" s="146" t="s">
        <v>197</v>
      </c>
      <c r="P63" s="146" t="s">
        <v>44</v>
      </c>
      <c r="Q63" s="146" t="s">
        <v>102</v>
      </c>
      <c r="R63" s="156">
        <v>1</v>
      </c>
      <c r="S63" s="146" t="s">
        <v>133</v>
      </c>
      <c r="T63" s="146">
        <v>90</v>
      </c>
    </row>
    <row r="64" spans="1:20">
      <c r="A64" s="146" t="s">
        <v>485</v>
      </c>
      <c r="B64" s="146" t="s">
        <v>482</v>
      </c>
      <c r="C64" s="146">
        <v>2021</v>
      </c>
      <c r="D64" s="146" t="s">
        <v>121</v>
      </c>
      <c r="E64" s="146" t="s">
        <v>16</v>
      </c>
      <c r="F64" s="146" t="s">
        <v>585</v>
      </c>
      <c r="G64" s="171" t="s">
        <v>592</v>
      </c>
      <c r="H64" s="146" t="s">
        <v>614</v>
      </c>
      <c r="I64" s="146" t="s">
        <v>616</v>
      </c>
      <c r="J64" s="146" t="s">
        <v>359</v>
      </c>
      <c r="K64" s="146" t="s">
        <v>197</v>
      </c>
      <c r="L64" s="146" t="s">
        <v>44</v>
      </c>
      <c r="M64" s="146" t="s">
        <v>184</v>
      </c>
      <c r="N64" s="146" t="s">
        <v>50</v>
      </c>
      <c r="O64" s="146" t="s">
        <v>177</v>
      </c>
      <c r="P64" s="146" t="s">
        <v>41</v>
      </c>
      <c r="Q64" s="146" t="s">
        <v>103</v>
      </c>
      <c r="R64" s="156">
        <v>0</v>
      </c>
      <c r="S64" s="146" t="s">
        <v>133</v>
      </c>
      <c r="T64" s="146">
        <v>91</v>
      </c>
    </row>
    <row r="65" spans="1:20">
      <c r="A65" s="146" t="s">
        <v>485</v>
      </c>
      <c r="B65" s="146" t="s">
        <v>482</v>
      </c>
      <c r="C65" s="146">
        <v>2021</v>
      </c>
      <c r="D65" s="146" t="s">
        <v>121</v>
      </c>
      <c r="E65" s="146" t="s">
        <v>16</v>
      </c>
      <c r="F65" s="146" t="s">
        <v>585</v>
      </c>
      <c r="G65" s="171" t="s">
        <v>592</v>
      </c>
      <c r="H65" s="146" t="s">
        <v>197</v>
      </c>
      <c r="I65" s="146" t="s">
        <v>44</v>
      </c>
      <c r="J65" s="146" t="s">
        <v>359</v>
      </c>
      <c r="K65" s="146" t="s">
        <v>614</v>
      </c>
      <c r="L65" s="146" t="s">
        <v>616</v>
      </c>
      <c r="M65" s="146" t="s">
        <v>184</v>
      </c>
      <c r="N65" s="146" t="s">
        <v>50</v>
      </c>
      <c r="O65" s="146" t="s">
        <v>177</v>
      </c>
      <c r="P65" s="146" t="s">
        <v>41</v>
      </c>
      <c r="Q65" s="146" t="s">
        <v>103</v>
      </c>
      <c r="R65" s="156">
        <v>0</v>
      </c>
      <c r="S65" s="146" t="s">
        <v>133</v>
      </c>
      <c r="T65" s="146">
        <v>92</v>
      </c>
    </row>
    <row r="66" spans="1:20">
      <c r="A66" s="146" t="s">
        <v>486</v>
      </c>
      <c r="B66" s="146" t="s">
        <v>482</v>
      </c>
      <c r="C66" s="146">
        <v>2021</v>
      </c>
      <c r="D66" s="146" t="s">
        <v>123</v>
      </c>
      <c r="E66" s="146" t="s">
        <v>124</v>
      </c>
      <c r="F66" s="146" t="s">
        <v>586</v>
      </c>
      <c r="G66" s="171" t="s">
        <v>589</v>
      </c>
      <c r="H66" s="146" t="s">
        <v>177</v>
      </c>
      <c r="I66" s="146" t="s">
        <v>41</v>
      </c>
      <c r="J66" s="146" t="s">
        <v>362</v>
      </c>
      <c r="K66" s="146"/>
      <c r="L66" s="146"/>
      <c r="M66" s="146" t="s">
        <v>210</v>
      </c>
      <c r="N66" s="146" t="s">
        <v>43</v>
      </c>
      <c r="O66" s="146"/>
      <c r="P66" s="146"/>
      <c r="Q66" s="146" t="s">
        <v>102</v>
      </c>
      <c r="R66" s="156">
        <v>2</v>
      </c>
      <c r="S66" s="146" t="s">
        <v>136</v>
      </c>
      <c r="T66" s="146">
        <v>99</v>
      </c>
    </row>
    <row r="67" spans="1:20">
      <c r="A67" s="146" t="s">
        <v>486</v>
      </c>
      <c r="B67" s="146" t="s">
        <v>482</v>
      </c>
      <c r="C67" s="146">
        <v>2021</v>
      </c>
      <c r="D67" s="146" t="s">
        <v>123</v>
      </c>
      <c r="E67" s="146" t="s">
        <v>124</v>
      </c>
      <c r="F67" s="146" t="s">
        <v>586</v>
      </c>
      <c r="G67" s="171" t="s">
        <v>589</v>
      </c>
      <c r="H67" s="146" t="s">
        <v>210</v>
      </c>
      <c r="I67" s="146" t="s">
        <v>43</v>
      </c>
      <c r="J67" s="146" t="s">
        <v>359</v>
      </c>
      <c r="K67" s="146"/>
      <c r="L67" s="146"/>
      <c r="M67" s="146" t="s">
        <v>177</v>
      </c>
      <c r="N67" s="146" t="s">
        <v>41</v>
      </c>
      <c r="O67" s="146"/>
      <c r="P67" s="146"/>
      <c r="Q67" s="146" t="s">
        <v>103</v>
      </c>
      <c r="R67" s="156">
        <v>0</v>
      </c>
      <c r="S67" s="146" t="s">
        <v>136</v>
      </c>
      <c r="T67" s="146">
        <v>100</v>
      </c>
    </row>
    <row r="68" spans="1:20">
      <c r="A68" s="146" t="s">
        <v>487</v>
      </c>
      <c r="B68" s="146" t="s">
        <v>482</v>
      </c>
      <c r="C68" s="146">
        <v>2021</v>
      </c>
      <c r="D68" s="146" t="s">
        <v>123</v>
      </c>
      <c r="E68" s="146" t="s">
        <v>124</v>
      </c>
      <c r="F68" s="146" t="s">
        <v>586</v>
      </c>
      <c r="G68" s="171" t="s">
        <v>589</v>
      </c>
      <c r="H68" s="146" t="s">
        <v>184</v>
      </c>
      <c r="I68" s="146" t="s">
        <v>50</v>
      </c>
      <c r="J68" s="146" t="s">
        <v>362</v>
      </c>
      <c r="K68" s="146"/>
      <c r="L68" s="146"/>
      <c r="M68" s="146" t="s">
        <v>203</v>
      </c>
      <c r="N68" s="146" t="s">
        <v>52</v>
      </c>
      <c r="O68" s="146"/>
      <c r="P68" s="146"/>
      <c r="Q68" s="146" t="s">
        <v>102</v>
      </c>
      <c r="R68" s="156">
        <v>2</v>
      </c>
      <c r="S68" s="146" t="s">
        <v>134</v>
      </c>
      <c r="T68" s="146">
        <v>93</v>
      </c>
    </row>
    <row r="69" spans="1:20">
      <c r="A69" s="146" t="s">
        <v>487</v>
      </c>
      <c r="B69" s="146" t="s">
        <v>482</v>
      </c>
      <c r="C69" s="146">
        <v>2021</v>
      </c>
      <c r="D69" s="146" t="s">
        <v>123</v>
      </c>
      <c r="E69" s="146" t="s">
        <v>124</v>
      </c>
      <c r="F69" s="146" t="s">
        <v>586</v>
      </c>
      <c r="G69" s="171" t="s">
        <v>589</v>
      </c>
      <c r="H69" s="146" t="s">
        <v>203</v>
      </c>
      <c r="I69" s="146" t="s">
        <v>52</v>
      </c>
      <c r="J69" s="146" t="s">
        <v>359</v>
      </c>
      <c r="K69" s="146"/>
      <c r="L69" s="146"/>
      <c r="M69" s="146" t="s">
        <v>184</v>
      </c>
      <c r="N69" s="146" t="s">
        <v>50</v>
      </c>
      <c r="O69" s="146"/>
      <c r="P69" s="146"/>
      <c r="Q69" s="146" t="s">
        <v>103</v>
      </c>
      <c r="R69" s="156">
        <v>0</v>
      </c>
      <c r="S69" s="146" t="s">
        <v>134</v>
      </c>
      <c r="T69" s="146">
        <v>94</v>
      </c>
    </row>
    <row r="70" spans="1:20">
      <c r="A70" s="146" t="s">
        <v>488</v>
      </c>
      <c r="B70" s="146" t="s">
        <v>482</v>
      </c>
      <c r="C70" s="146">
        <v>2021</v>
      </c>
      <c r="D70" s="146" t="s">
        <v>123</v>
      </c>
      <c r="E70" s="146" t="s">
        <v>124</v>
      </c>
      <c r="F70" s="146" t="s">
        <v>586</v>
      </c>
      <c r="G70" s="171" t="s">
        <v>589</v>
      </c>
      <c r="H70" s="146" t="s">
        <v>190</v>
      </c>
      <c r="I70" s="146" t="s">
        <v>51</v>
      </c>
      <c r="J70" s="146" t="s">
        <v>362</v>
      </c>
      <c r="K70" s="146"/>
      <c r="L70" s="146"/>
      <c r="M70" s="146" t="s">
        <v>614</v>
      </c>
      <c r="N70" s="146" t="s">
        <v>616</v>
      </c>
      <c r="O70" s="146"/>
      <c r="P70" s="146"/>
      <c r="Q70" s="146" t="s">
        <v>102</v>
      </c>
      <c r="R70" s="156">
        <v>2</v>
      </c>
      <c r="S70" s="146" t="s">
        <v>127</v>
      </c>
      <c r="T70" s="146">
        <v>95</v>
      </c>
    </row>
    <row r="71" spans="1:20">
      <c r="A71" s="146" t="s">
        <v>488</v>
      </c>
      <c r="B71" s="146" t="s">
        <v>482</v>
      </c>
      <c r="C71" s="146">
        <v>2021</v>
      </c>
      <c r="D71" s="146" t="s">
        <v>123</v>
      </c>
      <c r="E71" s="146" t="s">
        <v>124</v>
      </c>
      <c r="F71" s="146" t="s">
        <v>586</v>
      </c>
      <c r="G71" s="171" t="s">
        <v>589</v>
      </c>
      <c r="H71" s="146" t="s">
        <v>614</v>
      </c>
      <c r="I71" s="146" t="s">
        <v>616</v>
      </c>
      <c r="J71" s="146" t="s">
        <v>359</v>
      </c>
      <c r="K71" s="146"/>
      <c r="L71" s="146"/>
      <c r="M71" s="146" t="s">
        <v>190</v>
      </c>
      <c r="N71" s="146" t="s">
        <v>51</v>
      </c>
      <c r="O71" s="146"/>
      <c r="P71" s="146"/>
      <c r="Q71" s="146" t="s">
        <v>103</v>
      </c>
      <c r="R71" s="156">
        <v>0</v>
      </c>
      <c r="S71" s="146" t="s">
        <v>127</v>
      </c>
      <c r="T71" s="146">
        <v>96</v>
      </c>
    </row>
    <row r="72" spans="1:20">
      <c r="A72" s="146" t="s">
        <v>489</v>
      </c>
      <c r="B72" s="146" t="s">
        <v>482</v>
      </c>
      <c r="C72" s="146">
        <v>2021</v>
      </c>
      <c r="D72" s="146" t="s">
        <v>123</v>
      </c>
      <c r="E72" s="146" t="s">
        <v>124</v>
      </c>
      <c r="F72" s="146" t="s">
        <v>586</v>
      </c>
      <c r="G72" s="171" t="s">
        <v>589</v>
      </c>
      <c r="H72" s="146" t="s">
        <v>169</v>
      </c>
      <c r="I72" s="146" t="s">
        <v>42</v>
      </c>
      <c r="J72" s="146" t="s">
        <v>362</v>
      </c>
      <c r="K72" s="146"/>
      <c r="L72" s="146"/>
      <c r="M72" s="146" t="s">
        <v>197</v>
      </c>
      <c r="N72" s="146" t="s">
        <v>44</v>
      </c>
      <c r="O72" s="146"/>
      <c r="P72" s="146"/>
      <c r="Q72" s="146" t="s">
        <v>102</v>
      </c>
      <c r="R72" s="156">
        <v>2</v>
      </c>
      <c r="S72" s="146" t="s">
        <v>135</v>
      </c>
      <c r="T72" s="146">
        <v>97</v>
      </c>
    </row>
    <row r="73" spans="1:20">
      <c r="A73" s="146" t="s">
        <v>489</v>
      </c>
      <c r="B73" s="146" t="s">
        <v>482</v>
      </c>
      <c r="C73" s="146">
        <v>2021</v>
      </c>
      <c r="D73" s="146" t="s">
        <v>123</v>
      </c>
      <c r="E73" s="146" t="s">
        <v>124</v>
      </c>
      <c r="F73" s="146" t="s">
        <v>586</v>
      </c>
      <c r="G73" s="171" t="s">
        <v>589</v>
      </c>
      <c r="H73" s="146" t="s">
        <v>197</v>
      </c>
      <c r="I73" s="146" t="s">
        <v>44</v>
      </c>
      <c r="J73" s="146" t="s">
        <v>359</v>
      </c>
      <c r="K73" s="146"/>
      <c r="L73" s="146"/>
      <c r="M73" s="146" t="s">
        <v>169</v>
      </c>
      <c r="N73" s="146" t="s">
        <v>42</v>
      </c>
      <c r="O73" s="146"/>
      <c r="P73" s="146"/>
      <c r="Q73" s="146" t="s">
        <v>103</v>
      </c>
      <c r="R73" s="156">
        <v>0</v>
      </c>
      <c r="S73" s="146" t="s">
        <v>135</v>
      </c>
      <c r="T73" s="146">
        <v>98</v>
      </c>
    </row>
    <row r="74" spans="1:20">
      <c r="A74" s="146" t="s">
        <v>490</v>
      </c>
      <c r="B74" s="146" t="s">
        <v>491</v>
      </c>
      <c r="C74" s="146">
        <v>2022</v>
      </c>
      <c r="D74" s="146" t="s">
        <v>114</v>
      </c>
      <c r="E74" s="146" t="s">
        <v>115</v>
      </c>
      <c r="F74" s="146" t="s">
        <v>585</v>
      </c>
      <c r="G74" s="171" t="s">
        <v>593</v>
      </c>
      <c r="H74" s="146" t="s">
        <v>169</v>
      </c>
      <c r="I74" s="146" t="s">
        <v>42</v>
      </c>
      <c r="J74" s="146" t="s">
        <v>362</v>
      </c>
      <c r="K74" s="146" t="s">
        <v>184</v>
      </c>
      <c r="L74" s="146" t="s">
        <v>50</v>
      </c>
      <c r="M74" s="146" t="s">
        <v>197</v>
      </c>
      <c r="N74" s="146" t="s">
        <v>44</v>
      </c>
      <c r="O74" s="146" t="s">
        <v>614</v>
      </c>
      <c r="P74" s="146" t="s">
        <v>616</v>
      </c>
      <c r="Q74" s="146" t="s">
        <v>102</v>
      </c>
      <c r="R74" s="156">
        <v>1</v>
      </c>
      <c r="S74" s="146" t="s">
        <v>137</v>
      </c>
      <c r="T74" s="146">
        <v>101</v>
      </c>
    </row>
    <row r="75" spans="1:20">
      <c r="A75" s="146" t="s">
        <v>490</v>
      </c>
      <c r="B75" s="146" t="s">
        <v>491</v>
      </c>
      <c r="C75" s="146">
        <v>2022</v>
      </c>
      <c r="D75" s="146" t="s">
        <v>114</v>
      </c>
      <c r="E75" s="146" t="s">
        <v>115</v>
      </c>
      <c r="F75" s="146" t="s">
        <v>585</v>
      </c>
      <c r="G75" s="171" t="s">
        <v>593</v>
      </c>
      <c r="H75" s="146" t="s">
        <v>184</v>
      </c>
      <c r="I75" s="146" t="s">
        <v>50</v>
      </c>
      <c r="J75" s="146" t="s">
        <v>362</v>
      </c>
      <c r="K75" s="146" t="s">
        <v>169</v>
      </c>
      <c r="L75" s="146" t="s">
        <v>42</v>
      </c>
      <c r="M75" s="146" t="s">
        <v>197</v>
      </c>
      <c r="N75" s="146" t="s">
        <v>44</v>
      </c>
      <c r="O75" s="146" t="s">
        <v>614</v>
      </c>
      <c r="P75" s="146" t="s">
        <v>616</v>
      </c>
      <c r="Q75" s="146" t="s">
        <v>102</v>
      </c>
      <c r="R75" s="156">
        <v>1</v>
      </c>
      <c r="S75" s="146" t="s">
        <v>137</v>
      </c>
      <c r="T75" s="146">
        <v>102</v>
      </c>
    </row>
    <row r="76" spans="1:20">
      <c r="A76" s="146" t="s">
        <v>490</v>
      </c>
      <c r="B76" s="146" t="s">
        <v>491</v>
      </c>
      <c r="C76" s="146">
        <v>2022</v>
      </c>
      <c r="D76" s="146" t="s">
        <v>114</v>
      </c>
      <c r="E76" s="146" t="s">
        <v>115</v>
      </c>
      <c r="F76" s="146" t="s">
        <v>585</v>
      </c>
      <c r="G76" s="171" t="s">
        <v>593</v>
      </c>
      <c r="H76" s="146" t="s">
        <v>197</v>
      </c>
      <c r="I76" s="146" t="s">
        <v>44</v>
      </c>
      <c r="J76" s="146" t="s">
        <v>359</v>
      </c>
      <c r="K76" s="146" t="s">
        <v>614</v>
      </c>
      <c r="L76" s="146" t="s">
        <v>616</v>
      </c>
      <c r="M76" s="146" t="s">
        <v>169</v>
      </c>
      <c r="N76" s="146" t="s">
        <v>42</v>
      </c>
      <c r="O76" s="146" t="s">
        <v>184</v>
      </c>
      <c r="P76" s="146" t="s">
        <v>50</v>
      </c>
      <c r="Q76" s="146" t="s">
        <v>103</v>
      </c>
      <c r="R76" s="156">
        <v>0</v>
      </c>
      <c r="S76" s="146" t="s">
        <v>137</v>
      </c>
      <c r="T76" s="146">
        <v>103</v>
      </c>
    </row>
    <row r="77" spans="1:20">
      <c r="A77" s="146" t="s">
        <v>490</v>
      </c>
      <c r="B77" s="146" t="s">
        <v>491</v>
      </c>
      <c r="C77" s="146">
        <v>2022</v>
      </c>
      <c r="D77" s="146" t="s">
        <v>114</v>
      </c>
      <c r="E77" s="146" t="s">
        <v>115</v>
      </c>
      <c r="F77" s="146" t="s">
        <v>585</v>
      </c>
      <c r="G77" s="171" t="s">
        <v>593</v>
      </c>
      <c r="H77" s="146" t="s">
        <v>614</v>
      </c>
      <c r="I77" s="146" t="s">
        <v>616</v>
      </c>
      <c r="J77" s="146" t="s">
        <v>359</v>
      </c>
      <c r="K77" s="146" t="s">
        <v>197</v>
      </c>
      <c r="L77" s="146" t="s">
        <v>44</v>
      </c>
      <c r="M77" s="146" t="s">
        <v>169</v>
      </c>
      <c r="N77" s="146" t="s">
        <v>42</v>
      </c>
      <c r="O77" s="146" t="s">
        <v>184</v>
      </c>
      <c r="P77" s="146" t="s">
        <v>50</v>
      </c>
      <c r="Q77" s="146" t="s">
        <v>103</v>
      </c>
      <c r="R77" s="156">
        <v>0</v>
      </c>
      <c r="S77" s="146" t="s">
        <v>137</v>
      </c>
      <c r="T77" s="146">
        <v>104</v>
      </c>
    </row>
    <row r="78" spans="1:20">
      <c r="A78" s="146" t="s">
        <v>492</v>
      </c>
      <c r="B78" s="146" t="s">
        <v>491</v>
      </c>
      <c r="C78" s="146">
        <v>2022</v>
      </c>
      <c r="D78" s="146" t="s">
        <v>117</v>
      </c>
      <c r="E78" s="146" t="s">
        <v>115</v>
      </c>
      <c r="F78" s="146" t="s">
        <v>585</v>
      </c>
      <c r="G78" s="171" t="s">
        <v>593</v>
      </c>
      <c r="H78" s="146" t="s">
        <v>177</v>
      </c>
      <c r="I78" s="146" t="s">
        <v>41</v>
      </c>
      <c r="J78" s="146" t="s">
        <v>362</v>
      </c>
      <c r="K78" s="146" t="s">
        <v>190</v>
      </c>
      <c r="L78" s="146" t="s">
        <v>51</v>
      </c>
      <c r="M78" s="146" t="s">
        <v>203</v>
      </c>
      <c r="N78" s="146" t="s">
        <v>52</v>
      </c>
      <c r="O78" s="146" t="s">
        <v>210</v>
      </c>
      <c r="P78" s="146" t="s">
        <v>43</v>
      </c>
      <c r="Q78" s="146" t="s">
        <v>103</v>
      </c>
      <c r="R78" s="156">
        <v>0</v>
      </c>
      <c r="S78" s="146" t="s">
        <v>116</v>
      </c>
      <c r="T78" s="146">
        <v>105</v>
      </c>
    </row>
    <row r="79" spans="1:20">
      <c r="A79" s="146" t="s">
        <v>492</v>
      </c>
      <c r="B79" s="146" t="s">
        <v>491</v>
      </c>
      <c r="C79" s="146">
        <v>2022</v>
      </c>
      <c r="D79" s="146" t="s">
        <v>117</v>
      </c>
      <c r="E79" s="146" t="s">
        <v>115</v>
      </c>
      <c r="F79" s="146" t="s">
        <v>585</v>
      </c>
      <c r="G79" s="171" t="s">
        <v>593</v>
      </c>
      <c r="H79" s="146" t="s">
        <v>190</v>
      </c>
      <c r="I79" s="146" t="s">
        <v>51</v>
      </c>
      <c r="J79" s="146" t="s">
        <v>362</v>
      </c>
      <c r="K79" s="146" t="s">
        <v>177</v>
      </c>
      <c r="L79" s="146" t="s">
        <v>41</v>
      </c>
      <c r="M79" s="146" t="s">
        <v>203</v>
      </c>
      <c r="N79" s="146" t="s">
        <v>52</v>
      </c>
      <c r="O79" s="146" t="s">
        <v>210</v>
      </c>
      <c r="P79" s="146" t="s">
        <v>43</v>
      </c>
      <c r="Q79" s="146" t="s">
        <v>103</v>
      </c>
      <c r="R79" s="156">
        <v>0</v>
      </c>
      <c r="S79" s="146" t="s">
        <v>116</v>
      </c>
      <c r="T79" s="146">
        <v>106</v>
      </c>
    </row>
    <row r="80" spans="1:20">
      <c r="A80" s="146" t="s">
        <v>492</v>
      </c>
      <c r="B80" s="146" t="s">
        <v>491</v>
      </c>
      <c r="C80" s="146">
        <v>2022</v>
      </c>
      <c r="D80" s="146" t="s">
        <v>117</v>
      </c>
      <c r="E80" s="146" t="s">
        <v>115</v>
      </c>
      <c r="F80" s="146" t="s">
        <v>585</v>
      </c>
      <c r="G80" s="171" t="s">
        <v>593</v>
      </c>
      <c r="H80" s="146" t="s">
        <v>203</v>
      </c>
      <c r="I80" s="146" t="s">
        <v>52</v>
      </c>
      <c r="J80" s="146" t="s">
        <v>359</v>
      </c>
      <c r="K80" s="146" t="s">
        <v>210</v>
      </c>
      <c r="L80" s="146" t="s">
        <v>43</v>
      </c>
      <c r="M80" s="146" t="s">
        <v>177</v>
      </c>
      <c r="N80" s="146" t="s">
        <v>41</v>
      </c>
      <c r="O80" s="146" t="s">
        <v>190</v>
      </c>
      <c r="P80" s="146" t="s">
        <v>51</v>
      </c>
      <c r="Q80" s="146" t="s">
        <v>102</v>
      </c>
      <c r="R80" s="156">
        <v>1</v>
      </c>
      <c r="S80" s="146" t="s">
        <v>116</v>
      </c>
      <c r="T80" s="146">
        <v>107</v>
      </c>
    </row>
    <row r="81" spans="1:20">
      <c r="A81" s="146" t="s">
        <v>492</v>
      </c>
      <c r="B81" s="146" t="s">
        <v>491</v>
      </c>
      <c r="C81" s="146">
        <v>2022</v>
      </c>
      <c r="D81" s="146" t="s">
        <v>117</v>
      </c>
      <c r="E81" s="146" t="s">
        <v>115</v>
      </c>
      <c r="F81" s="146" t="s">
        <v>585</v>
      </c>
      <c r="G81" s="171" t="s">
        <v>593</v>
      </c>
      <c r="H81" s="146" t="s">
        <v>210</v>
      </c>
      <c r="I81" s="146" t="s">
        <v>43</v>
      </c>
      <c r="J81" s="146" t="s">
        <v>359</v>
      </c>
      <c r="K81" s="146" t="s">
        <v>203</v>
      </c>
      <c r="L81" s="146" t="s">
        <v>52</v>
      </c>
      <c r="M81" s="146" t="s">
        <v>177</v>
      </c>
      <c r="N81" s="146" t="s">
        <v>41</v>
      </c>
      <c r="O81" s="146" t="s">
        <v>190</v>
      </c>
      <c r="P81" s="146" t="s">
        <v>51</v>
      </c>
      <c r="Q81" s="146" t="s">
        <v>102</v>
      </c>
      <c r="R81" s="156">
        <v>1</v>
      </c>
      <c r="S81" s="146" t="s">
        <v>116</v>
      </c>
      <c r="T81" s="146">
        <v>108</v>
      </c>
    </row>
    <row r="82" spans="1:20">
      <c r="A82" s="146" t="s">
        <v>493</v>
      </c>
      <c r="B82" s="146" t="s">
        <v>491</v>
      </c>
      <c r="C82" s="146">
        <v>2022</v>
      </c>
      <c r="D82" s="146" t="s">
        <v>119</v>
      </c>
      <c r="E82" s="146" t="s">
        <v>16</v>
      </c>
      <c r="F82" s="146" t="s">
        <v>585</v>
      </c>
      <c r="G82" s="171" t="s">
        <v>594</v>
      </c>
      <c r="H82" s="146" t="s">
        <v>169</v>
      </c>
      <c r="I82" s="146" t="s">
        <v>42</v>
      </c>
      <c r="J82" s="146" t="s">
        <v>362</v>
      </c>
      <c r="K82" s="146" t="s">
        <v>184</v>
      </c>
      <c r="L82" s="146" t="s">
        <v>50</v>
      </c>
      <c r="M82" s="146" t="s">
        <v>197</v>
      </c>
      <c r="N82" s="146" t="s">
        <v>44</v>
      </c>
      <c r="O82" s="146" t="s">
        <v>203</v>
      </c>
      <c r="P82" s="146" t="s">
        <v>52</v>
      </c>
      <c r="Q82" s="146" t="s">
        <v>102</v>
      </c>
      <c r="R82" s="156">
        <v>1</v>
      </c>
      <c r="S82" s="146" t="s">
        <v>138</v>
      </c>
      <c r="T82" s="146">
        <v>109</v>
      </c>
    </row>
    <row r="83" spans="1:20">
      <c r="A83" s="146" t="s">
        <v>493</v>
      </c>
      <c r="B83" s="146" t="s">
        <v>491</v>
      </c>
      <c r="C83" s="146">
        <v>2022</v>
      </c>
      <c r="D83" s="146" t="s">
        <v>119</v>
      </c>
      <c r="E83" s="146" t="s">
        <v>16</v>
      </c>
      <c r="F83" s="146" t="s">
        <v>585</v>
      </c>
      <c r="G83" s="171" t="s">
        <v>594</v>
      </c>
      <c r="H83" s="146" t="s">
        <v>184</v>
      </c>
      <c r="I83" s="146" t="s">
        <v>50</v>
      </c>
      <c r="J83" s="146" t="s">
        <v>362</v>
      </c>
      <c r="K83" s="146" t="s">
        <v>169</v>
      </c>
      <c r="L83" s="146" t="s">
        <v>42</v>
      </c>
      <c r="M83" s="146" t="s">
        <v>197</v>
      </c>
      <c r="N83" s="146" t="s">
        <v>44</v>
      </c>
      <c r="O83" s="146" t="s">
        <v>203</v>
      </c>
      <c r="P83" s="146" t="s">
        <v>52</v>
      </c>
      <c r="Q83" s="146" t="s">
        <v>102</v>
      </c>
      <c r="R83" s="156">
        <v>1</v>
      </c>
      <c r="S83" s="146" t="s">
        <v>138</v>
      </c>
      <c r="T83" s="146">
        <v>110</v>
      </c>
    </row>
    <row r="84" spans="1:20">
      <c r="A84" s="146" t="s">
        <v>493</v>
      </c>
      <c r="B84" s="146" t="s">
        <v>491</v>
      </c>
      <c r="C84" s="146">
        <v>2022</v>
      </c>
      <c r="D84" s="146" t="s">
        <v>119</v>
      </c>
      <c r="E84" s="146" t="s">
        <v>16</v>
      </c>
      <c r="F84" s="146" t="s">
        <v>585</v>
      </c>
      <c r="G84" s="171" t="s">
        <v>594</v>
      </c>
      <c r="H84" s="146" t="s">
        <v>197</v>
      </c>
      <c r="I84" s="146" t="s">
        <v>44</v>
      </c>
      <c r="J84" s="146" t="s">
        <v>359</v>
      </c>
      <c r="K84" s="146" t="s">
        <v>203</v>
      </c>
      <c r="L84" s="146" t="s">
        <v>52</v>
      </c>
      <c r="M84" s="146" t="s">
        <v>169</v>
      </c>
      <c r="N84" s="146" t="s">
        <v>42</v>
      </c>
      <c r="O84" s="146" t="s">
        <v>184</v>
      </c>
      <c r="P84" s="146" t="s">
        <v>50</v>
      </c>
      <c r="Q84" s="146" t="s">
        <v>103</v>
      </c>
      <c r="R84" s="156">
        <v>0</v>
      </c>
      <c r="S84" s="146" t="s">
        <v>138</v>
      </c>
      <c r="T84" s="146">
        <v>111</v>
      </c>
    </row>
    <row r="85" spans="1:20">
      <c r="A85" s="146" t="s">
        <v>493</v>
      </c>
      <c r="B85" s="146" t="s">
        <v>491</v>
      </c>
      <c r="C85" s="146">
        <v>2022</v>
      </c>
      <c r="D85" s="146" t="s">
        <v>119</v>
      </c>
      <c r="E85" s="146" t="s">
        <v>16</v>
      </c>
      <c r="F85" s="146" t="s">
        <v>585</v>
      </c>
      <c r="G85" s="171" t="s">
        <v>594</v>
      </c>
      <c r="H85" s="146" t="s">
        <v>203</v>
      </c>
      <c r="I85" s="146" t="s">
        <v>52</v>
      </c>
      <c r="J85" s="146" t="s">
        <v>359</v>
      </c>
      <c r="K85" s="146" t="s">
        <v>197</v>
      </c>
      <c r="L85" s="146" t="s">
        <v>44</v>
      </c>
      <c r="M85" s="146" t="s">
        <v>169</v>
      </c>
      <c r="N85" s="146" t="s">
        <v>42</v>
      </c>
      <c r="O85" s="146" t="s">
        <v>184</v>
      </c>
      <c r="P85" s="146" t="s">
        <v>50</v>
      </c>
      <c r="Q85" s="146" t="s">
        <v>103</v>
      </c>
      <c r="R85" s="156">
        <v>0</v>
      </c>
      <c r="S85" s="146" t="s">
        <v>138</v>
      </c>
      <c r="T85" s="146">
        <v>112</v>
      </c>
    </row>
    <row r="86" spans="1:20">
      <c r="A86" s="146" t="s">
        <v>494</v>
      </c>
      <c r="B86" s="146" t="s">
        <v>491</v>
      </c>
      <c r="C86" s="146">
        <v>2022</v>
      </c>
      <c r="D86" s="146" t="s">
        <v>121</v>
      </c>
      <c r="E86" s="146" t="s">
        <v>16</v>
      </c>
      <c r="F86" s="146" t="s">
        <v>585</v>
      </c>
      <c r="G86" s="171" t="s">
        <v>594</v>
      </c>
      <c r="H86" s="146" t="s">
        <v>177</v>
      </c>
      <c r="I86" s="146" t="s">
        <v>41</v>
      </c>
      <c r="J86" s="146" t="s">
        <v>362</v>
      </c>
      <c r="K86" s="146" t="s">
        <v>190</v>
      </c>
      <c r="L86" s="146" t="s">
        <v>51</v>
      </c>
      <c r="M86" s="146" t="s">
        <v>614</v>
      </c>
      <c r="N86" s="146" t="s">
        <v>616</v>
      </c>
      <c r="O86" s="146" t="s">
        <v>210</v>
      </c>
      <c r="P86" s="146" t="s">
        <v>43</v>
      </c>
      <c r="Q86" s="146" t="s">
        <v>103</v>
      </c>
      <c r="R86" s="156">
        <v>0</v>
      </c>
      <c r="S86" s="146" t="s">
        <v>139</v>
      </c>
      <c r="T86" s="146">
        <v>113</v>
      </c>
    </row>
    <row r="87" spans="1:20">
      <c r="A87" s="146" t="s">
        <v>494</v>
      </c>
      <c r="B87" s="146" t="s">
        <v>491</v>
      </c>
      <c r="C87" s="146">
        <v>2022</v>
      </c>
      <c r="D87" s="146" t="s">
        <v>121</v>
      </c>
      <c r="E87" s="146" t="s">
        <v>16</v>
      </c>
      <c r="F87" s="146" t="s">
        <v>585</v>
      </c>
      <c r="G87" s="171" t="s">
        <v>594</v>
      </c>
      <c r="H87" s="146" t="s">
        <v>190</v>
      </c>
      <c r="I87" s="146" t="s">
        <v>51</v>
      </c>
      <c r="J87" s="146" t="s">
        <v>362</v>
      </c>
      <c r="K87" s="146" t="s">
        <v>177</v>
      </c>
      <c r="L87" s="146" t="s">
        <v>41</v>
      </c>
      <c r="M87" s="146" t="s">
        <v>614</v>
      </c>
      <c r="N87" s="146" t="s">
        <v>616</v>
      </c>
      <c r="O87" s="146" t="s">
        <v>210</v>
      </c>
      <c r="P87" s="146" t="s">
        <v>43</v>
      </c>
      <c r="Q87" s="146" t="s">
        <v>103</v>
      </c>
      <c r="R87" s="156">
        <v>0</v>
      </c>
      <c r="S87" s="146" t="s">
        <v>139</v>
      </c>
      <c r="T87" s="146">
        <v>114</v>
      </c>
    </row>
    <row r="88" spans="1:20">
      <c r="A88" s="146" t="s">
        <v>494</v>
      </c>
      <c r="B88" s="146" t="s">
        <v>491</v>
      </c>
      <c r="C88" s="146">
        <v>2022</v>
      </c>
      <c r="D88" s="146" t="s">
        <v>121</v>
      </c>
      <c r="E88" s="146" t="s">
        <v>16</v>
      </c>
      <c r="F88" s="146" t="s">
        <v>585</v>
      </c>
      <c r="G88" s="171" t="s">
        <v>594</v>
      </c>
      <c r="H88" s="146" t="s">
        <v>614</v>
      </c>
      <c r="I88" s="146" t="s">
        <v>616</v>
      </c>
      <c r="J88" s="146" t="s">
        <v>359</v>
      </c>
      <c r="K88" s="146" t="s">
        <v>210</v>
      </c>
      <c r="L88" s="146" t="s">
        <v>43</v>
      </c>
      <c r="M88" s="146" t="s">
        <v>177</v>
      </c>
      <c r="N88" s="146" t="s">
        <v>41</v>
      </c>
      <c r="O88" s="146" t="s">
        <v>190</v>
      </c>
      <c r="P88" s="146" t="s">
        <v>51</v>
      </c>
      <c r="Q88" s="146" t="s">
        <v>102</v>
      </c>
      <c r="R88" s="156">
        <v>1</v>
      </c>
      <c r="S88" s="146" t="s">
        <v>139</v>
      </c>
      <c r="T88" s="146">
        <v>115</v>
      </c>
    </row>
    <row r="89" spans="1:20">
      <c r="A89" s="146" t="s">
        <v>494</v>
      </c>
      <c r="B89" s="146" t="s">
        <v>491</v>
      </c>
      <c r="C89" s="146">
        <v>2022</v>
      </c>
      <c r="D89" s="146" t="s">
        <v>121</v>
      </c>
      <c r="E89" s="146" t="s">
        <v>16</v>
      </c>
      <c r="F89" s="146" t="s">
        <v>585</v>
      </c>
      <c r="G89" s="171" t="s">
        <v>594</v>
      </c>
      <c r="H89" s="146" t="s">
        <v>210</v>
      </c>
      <c r="I89" s="146" t="s">
        <v>43</v>
      </c>
      <c r="J89" s="146" t="s">
        <v>359</v>
      </c>
      <c r="K89" s="146" t="s">
        <v>614</v>
      </c>
      <c r="L89" s="146" t="s">
        <v>616</v>
      </c>
      <c r="M89" s="146" t="s">
        <v>177</v>
      </c>
      <c r="N89" s="146" t="s">
        <v>41</v>
      </c>
      <c r="O89" s="146" t="s">
        <v>190</v>
      </c>
      <c r="P89" s="146" t="s">
        <v>51</v>
      </c>
      <c r="Q89" s="146" t="s">
        <v>102</v>
      </c>
      <c r="R89" s="156">
        <v>1</v>
      </c>
      <c r="S89" s="146" t="s">
        <v>139</v>
      </c>
      <c r="T89" s="146">
        <v>116</v>
      </c>
    </row>
    <row r="90" spans="1:20">
      <c r="A90" s="146" t="s">
        <v>495</v>
      </c>
      <c r="B90" s="146" t="s">
        <v>491</v>
      </c>
      <c r="C90" s="146">
        <v>2022</v>
      </c>
      <c r="D90" s="146" t="s">
        <v>123</v>
      </c>
      <c r="E90" s="146" t="s">
        <v>124</v>
      </c>
      <c r="F90" s="146" t="s">
        <v>586</v>
      </c>
      <c r="G90" s="171" t="s">
        <v>595</v>
      </c>
      <c r="H90" s="146" t="s">
        <v>177</v>
      </c>
      <c r="I90" s="146" t="s">
        <v>41</v>
      </c>
      <c r="J90" s="146" t="s">
        <v>362</v>
      </c>
      <c r="K90" s="146"/>
      <c r="L90" s="146"/>
      <c r="M90" s="146" t="s">
        <v>210</v>
      </c>
      <c r="N90" s="146" t="s">
        <v>43</v>
      </c>
      <c r="O90" s="146"/>
      <c r="P90" s="146"/>
      <c r="Q90" s="146" t="s">
        <v>104</v>
      </c>
      <c r="R90" s="156">
        <v>1</v>
      </c>
      <c r="S90" s="146" t="s">
        <v>125</v>
      </c>
      <c r="T90" s="146">
        <v>123</v>
      </c>
    </row>
    <row r="91" spans="1:20">
      <c r="A91" s="146" t="s">
        <v>495</v>
      </c>
      <c r="B91" s="146" t="s">
        <v>491</v>
      </c>
      <c r="C91" s="146">
        <v>2022</v>
      </c>
      <c r="D91" s="146" t="s">
        <v>123</v>
      </c>
      <c r="E91" s="146" t="s">
        <v>124</v>
      </c>
      <c r="F91" s="146" t="s">
        <v>586</v>
      </c>
      <c r="G91" s="171" t="s">
        <v>595</v>
      </c>
      <c r="H91" s="146" t="s">
        <v>210</v>
      </c>
      <c r="I91" s="146" t="s">
        <v>43</v>
      </c>
      <c r="J91" s="146" t="s">
        <v>359</v>
      </c>
      <c r="K91" s="146"/>
      <c r="L91" s="146"/>
      <c r="M91" s="146" t="s">
        <v>177</v>
      </c>
      <c r="N91" s="146" t="s">
        <v>41</v>
      </c>
      <c r="O91" s="146"/>
      <c r="P91" s="146"/>
      <c r="Q91" s="146" t="s">
        <v>104</v>
      </c>
      <c r="R91" s="156">
        <v>1</v>
      </c>
      <c r="S91" s="146" t="s">
        <v>125</v>
      </c>
      <c r="T91" s="146">
        <v>124</v>
      </c>
    </row>
    <row r="92" spans="1:20">
      <c r="A92" s="146" t="s">
        <v>496</v>
      </c>
      <c r="B92" s="146" t="s">
        <v>491</v>
      </c>
      <c r="C92" s="146">
        <v>2022</v>
      </c>
      <c r="D92" s="146" t="s">
        <v>123</v>
      </c>
      <c r="E92" s="146" t="s">
        <v>124</v>
      </c>
      <c r="F92" s="146" t="s">
        <v>586</v>
      </c>
      <c r="G92" s="171" t="s">
        <v>595</v>
      </c>
      <c r="H92" s="146" t="s">
        <v>190</v>
      </c>
      <c r="I92" s="146" t="s">
        <v>51</v>
      </c>
      <c r="J92" s="146" t="s">
        <v>362</v>
      </c>
      <c r="K92" s="146"/>
      <c r="L92" s="146"/>
      <c r="M92" s="146" t="s">
        <v>203</v>
      </c>
      <c r="N92" s="146" t="s">
        <v>52</v>
      </c>
      <c r="O92" s="146"/>
      <c r="P92" s="146"/>
      <c r="Q92" s="146" t="s">
        <v>103</v>
      </c>
      <c r="R92" s="156">
        <v>0</v>
      </c>
      <c r="S92" s="146" t="s">
        <v>140</v>
      </c>
      <c r="T92" s="146">
        <v>117</v>
      </c>
    </row>
    <row r="93" spans="1:20">
      <c r="A93" s="146" t="s">
        <v>496</v>
      </c>
      <c r="B93" s="146" t="s">
        <v>491</v>
      </c>
      <c r="C93" s="146">
        <v>2022</v>
      </c>
      <c r="D93" s="146" t="s">
        <v>123</v>
      </c>
      <c r="E93" s="146" t="s">
        <v>124</v>
      </c>
      <c r="F93" s="146" t="s">
        <v>586</v>
      </c>
      <c r="G93" s="171" t="s">
        <v>595</v>
      </c>
      <c r="H93" s="146" t="s">
        <v>203</v>
      </c>
      <c r="I93" s="146" t="s">
        <v>52</v>
      </c>
      <c r="J93" s="146" t="s">
        <v>359</v>
      </c>
      <c r="K93" s="146"/>
      <c r="L93" s="146"/>
      <c r="M93" s="146" t="s">
        <v>190</v>
      </c>
      <c r="N93" s="146" t="s">
        <v>51</v>
      </c>
      <c r="O93" s="146"/>
      <c r="P93" s="146"/>
      <c r="Q93" s="146" t="s">
        <v>102</v>
      </c>
      <c r="R93" s="156">
        <v>2</v>
      </c>
      <c r="S93" s="146" t="s">
        <v>140</v>
      </c>
      <c r="T93" s="146">
        <v>118</v>
      </c>
    </row>
    <row r="94" spans="1:20">
      <c r="A94" s="146" t="s">
        <v>497</v>
      </c>
      <c r="B94" s="146" t="s">
        <v>491</v>
      </c>
      <c r="C94" s="146">
        <v>2022</v>
      </c>
      <c r="D94" s="146" t="s">
        <v>123</v>
      </c>
      <c r="E94" s="146" t="s">
        <v>124</v>
      </c>
      <c r="F94" s="146" t="s">
        <v>586</v>
      </c>
      <c r="G94" s="171" t="s">
        <v>595</v>
      </c>
      <c r="H94" s="146" t="s">
        <v>184</v>
      </c>
      <c r="I94" s="146" t="s">
        <v>50</v>
      </c>
      <c r="J94" s="146" t="s">
        <v>362</v>
      </c>
      <c r="K94" s="146"/>
      <c r="L94" s="146"/>
      <c r="M94" s="146" t="s">
        <v>614</v>
      </c>
      <c r="N94" s="146" t="s">
        <v>616</v>
      </c>
      <c r="O94" s="146"/>
      <c r="P94" s="146"/>
      <c r="Q94" s="146" t="s">
        <v>103</v>
      </c>
      <c r="R94" s="156">
        <v>0</v>
      </c>
      <c r="S94" s="146" t="s">
        <v>131</v>
      </c>
      <c r="T94" s="146">
        <v>119</v>
      </c>
    </row>
    <row r="95" spans="1:20">
      <c r="A95" s="146" t="s">
        <v>497</v>
      </c>
      <c r="B95" s="146" t="s">
        <v>491</v>
      </c>
      <c r="C95" s="146">
        <v>2022</v>
      </c>
      <c r="D95" s="146" t="s">
        <v>123</v>
      </c>
      <c r="E95" s="146" t="s">
        <v>124</v>
      </c>
      <c r="F95" s="146" t="s">
        <v>586</v>
      </c>
      <c r="G95" s="171" t="s">
        <v>595</v>
      </c>
      <c r="H95" s="146" t="s">
        <v>614</v>
      </c>
      <c r="I95" s="146" t="s">
        <v>616</v>
      </c>
      <c r="J95" s="146" t="s">
        <v>359</v>
      </c>
      <c r="K95" s="146"/>
      <c r="L95" s="146"/>
      <c r="M95" s="146" t="s">
        <v>184</v>
      </c>
      <c r="N95" s="146" t="s">
        <v>50</v>
      </c>
      <c r="O95" s="146"/>
      <c r="P95" s="146"/>
      <c r="Q95" s="146" t="s">
        <v>102</v>
      </c>
      <c r="R95" s="156">
        <v>2</v>
      </c>
      <c r="S95" s="146" t="s">
        <v>131</v>
      </c>
      <c r="T95" s="146">
        <v>120</v>
      </c>
    </row>
    <row r="96" spans="1:20">
      <c r="A96" s="146" t="s">
        <v>498</v>
      </c>
      <c r="B96" s="146" t="s">
        <v>491</v>
      </c>
      <c r="C96" s="146">
        <v>2022</v>
      </c>
      <c r="D96" s="146" t="s">
        <v>123</v>
      </c>
      <c r="E96" s="146" t="s">
        <v>124</v>
      </c>
      <c r="F96" s="146" t="s">
        <v>586</v>
      </c>
      <c r="G96" s="171" t="s">
        <v>595</v>
      </c>
      <c r="H96" s="146" t="s">
        <v>169</v>
      </c>
      <c r="I96" s="146" t="s">
        <v>42</v>
      </c>
      <c r="J96" s="146" t="s">
        <v>362</v>
      </c>
      <c r="K96" s="146"/>
      <c r="L96" s="146"/>
      <c r="M96" s="146" t="s">
        <v>197</v>
      </c>
      <c r="N96" s="146" t="s">
        <v>44</v>
      </c>
      <c r="O96" s="146"/>
      <c r="P96" s="146"/>
      <c r="Q96" s="146" t="s">
        <v>102</v>
      </c>
      <c r="R96" s="156">
        <v>2</v>
      </c>
      <c r="S96" s="146" t="s">
        <v>141</v>
      </c>
      <c r="T96" s="146">
        <v>121</v>
      </c>
    </row>
    <row r="97" spans="1:20">
      <c r="A97" s="146" t="s">
        <v>498</v>
      </c>
      <c r="B97" s="146" t="s">
        <v>491</v>
      </c>
      <c r="C97" s="146">
        <v>2022</v>
      </c>
      <c r="D97" s="146" t="s">
        <v>123</v>
      </c>
      <c r="E97" s="146" t="s">
        <v>124</v>
      </c>
      <c r="F97" s="146" t="s">
        <v>586</v>
      </c>
      <c r="G97" s="171" t="s">
        <v>595</v>
      </c>
      <c r="H97" s="146" t="s">
        <v>197</v>
      </c>
      <c r="I97" s="146" t="s">
        <v>44</v>
      </c>
      <c r="J97" s="146" t="s">
        <v>359</v>
      </c>
      <c r="K97" s="146"/>
      <c r="L97" s="146"/>
      <c r="M97" s="146" t="s">
        <v>169</v>
      </c>
      <c r="N97" s="146" t="s">
        <v>42</v>
      </c>
      <c r="O97" s="146"/>
      <c r="P97" s="146"/>
      <c r="Q97" s="146" t="s">
        <v>103</v>
      </c>
      <c r="R97" s="156">
        <v>0</v>
      </c>
      <c r="S97" s="146" t="s">
        <v>141</v>
      </c>
      <c r="T97" s="146">
        <v>122</v>
      </c>
    </row>
    <row r="98" spans="1:20">
      <c r="A98" s="146" t="s">
        <v>499</v>
      </c>
      <c r="B98" s="146" t="s">
        <v>500</v>
      </c>
      <c r="C98" s="146">
        <v>2025</v>
      </c>
      <c r="D98" s="146" t="s">
        <v>114</v>
      </c>
      <c r="E98" s="146" t="s">
        <v>115</v>
      </c>
      <c r="F98" s="146" t="s">
        <v>585</v>
      </c>
      <c r="G98" s="171" t="s">
        <v>593</v>
      </c>
      <c r="H98" s="146" t="s">
        <v>169</v>
      </c>
      <c r="I98" s="146" t="s">
        <v>42</v>
      </c>
      <c r="J98" s="146" t="s">
        <v>362</v>
      </c>
      <c r="K98" s="146" t="s">
        <v>190</v>
      </c>
      <c r="L98" s="146" t="s">
        <v>51</v>
      </c>
      <c r="M98" s="146" t="s">
        <v>210</v>
      </c>
      <c r="N98" s="146" t="s">
        <v>43</v>
      </c>
      <c r="O98" s="146" t="s">
        <v>203</v>
      </c>
      <c r="P98" s="146" t="s">
        <v>52</v>
      </c>
      <c r="Q98" s="146" t="s">
        <v>102</v>
      </c>
      <c r="R98" s="156">
        <v>1</v>
      </c>
      <c r="S98" s="146" t="s">
        <v>135</v>
      </c>
      <c r="T98" s="146">
        <v>125</v>
      </c>
    </row>
    <row r="99" spans="1:20">
      <c r="A99" s="146" t="s">
        <v>499</v>
      </c>
      <c r="B99" s="146" t="s">
        <v>500</v>
      </c>
      <c r="C99" s="146">
        <v>2025</v>
      </c>
      <c r="D99" s="146" t="s">
        <v>114</v>
      </c>
      <c r="E99" s="146" t="s">
        <v>115</v>
      </c>
      <c r="F99" s="146" t="s">
        <v>585</v>
      </c>
      <c r="G99" s="171" t="s">
        <v>593</v>
      </c>
      <c r="H99" s="146" t="s">
        <v>190</v>
      </c>
      <c r="I99" s="146" t="s">
        <v>51</v>
      </c>
      <c r="J99" s="146" t="s">
        <v>362</v>
      </c>
      <c r="K99" s="146" t="s">
        <v>169</v>
      </c>
      <c r="L99" s="146" t="s">
        <v>42</v>
      </c>
      <c r="M99" s="146" t="s">
        <v>210</v>
      </c>
      <c r="N99" s="146" t="s">
        <v>43</v>
      </c>
      <c r="O99" s="146" t="s">
        <v>203</v>
      </c>
      <c r="P99" s="146" t="s">
        <v>52</v>
      </c>
      <c r="Q99" s="146" t="s">
        <v>102</v>
      </c>
      <c r="R99" s="156">
        <v>1</v>
      </c>
      <c r="S99" s="146" t="s">
        <v>135</v>
      </c>
      <c r="T99" s="146">
        <v>126</v>
      </c>
    </row>
    <row r="100" spans="1:20">
      <c r="A100" s="146" t="s">
        <v>499</v>
      </c>
      <c r="B100" s="146" t="s">
        <v>500</v>
      </c>
      <c r="C100" s="146">
        <v>2025</v>
      </c>
      <c r="D100" s="146" t="s">
        <v>114</v>
      </c>
      <c r="E100" s="146" t="s">
        <v>115</v>
      </c>
      <c r="F100" s="146" t="s">
        <v>585</v>
      </c>
      <c r="G100" s="171" t="s">
        <v>593</v>
      </c>
      <c r="H100" s="146" t="s">
        <v>210</v>
      </c>
      <c r="I100" s="146" t="s">
        <v>43</v>
      </c>
      <c r="J100" s="146" t="s">
        <v>359</v>
      </c>
      <c r="K100" s="146" t="s">
        <v>203</v>
      </c>
      <c r="L100" s="146" t="s">
        <v>52</v>
      </c>
      <c r="M100" s="146" t="s">
        <v>169</v>
      </c>
      <c r="N100" s="146" t="s">
        <v>42</v>
      </c>
      <c r="O100" s="146" t="s">
        <v>190</v>
      </c>
      <c r="P100" s="146" t="s">
        <v>51</v>
      </c>
      <c r="Q100" s="146" t="s">
        <v>103</v>
      </c>
      <c r="R100" s="156">
        <v>0</v>
      </c>
      <c r="S100" s="146" t="s">
        <v>135</v>
      </c>
      <c r="T100" s="146">
        <v>127</v>
      </c>
    </row>
    <row r="101" spans="1:20">
      <c r="A101" s="146" t="s">
        <v>499</v>
      </c>
      <c r="B101" s="146" t="s">
        <v>500</v>
      </c>
      <c r="C101" s="146">
        <v>2025</v>
      </c>
      <c r="D101" s="146" t="s">
        <v>114</v>
      </c>
      <c r="E101" s="146" t="s">
        <v>115</v>
      </c>
      <c r="F101" s="146" t="s">
        <v>585</v>
      </c>
      <c r="G101" s="171" t="s">
        <v>593</v>
      </c>
      <c r="H101" s="146" t="s">
        <v>203</v>
      </c>
      <c r="I101" s="146" t="s">
        <v>52</v>
      </c>
      <c r="J101" s="146" t="s">
        <v>359</v>
      </c>
      <c r="K101" s="146" t="s">
        <v>210</v>
      </c>
      <c r="L101" s="146" t="s">
        <v>43</v>
      </c>
      <c r="M101" s="146" t="s">
        <v>169</v>
      </c>
      <c r="N101" s="146" t="s">
        <v>42</v>
      </c>
      <c r="O101" s="146" t="s">
        <v>190</v>
      </c>
      <c r="P101" s="146" t="s">
        <v>51</v>
      </c>
      <c r="Q101" s="146" t="s">
        <v>103</v>
      </c>
      <c r="R101" s="156">
        <v>0</v>
      </c>
      <c r="S101" s="146" t="s">
        <v>135</v>
      </c>
      <c r="T101" s="146">
        <v>128</v>
      </c>
    </row>
    <row r="102" spans="1:20">
      <c r="A102" s="146" t="s">
        <v>501</v>
      </c>
      <c r="B102" s="146" t="s">
        <v>500</v>
      </c>
      <c r="C102" s="146">
        <v>2025</v>
      </c>
      <c r="D102" s="146" t="s">
        <v>117</v>
      </c>
      <c r="E102" s="146" t="s">
        <v>115</v>
      </c>
      <c r="F102" s="146" t="s">
        <v>585</v>
      </c>
      <c r="G102" s="171" t="s">
        <v>593</v>
      </c>
      <c r="H102" s="146" t="s">
        <v>177</v>
      </c>
      <c r="I102" s="146" t="s">
        <v>41</v>
      </c>
      <c r="J102" s="146" t="s">
        <v>362</v>
      </c>
      <c r="K102" s="146" t="s">
        <v>184</v>
      </c>
      <c r="L102" s="146" t="s">
        <v>50</v>
      </c>
      <c r="M102" s="146" t="s">
        <v>197</v>
      </c>
      <c r="N102" s="146" t="s">
        <v>44</v>
      </c>
      <c r="O102" s="146" t="s">
        <v>614</v>
      </c>
      <c r="P102" s="146" t="s">
        <v>616</v>
      </c>
      <c r="Q102" s="146" t="s">
        <v>103</v>
      </c>
      <c r="R102" s="156">
        <v>0</v>
      </c>
      <c r="S102" s="146" t="s">
        <v>126</v>
      </c>
      <c r="T102" s="146">
        <v>129</v>
      </c>
    </row>
    <row r="103" spans="1:20">
      <c r="A103" s="146" t="s">
        <v>501</v>
      </c>
      <c r="B103" s="146" t="s">
        <v>500</v>
      </c>
      <c r="C103" s="146">
        <v>2025</v>
      </c>
      <c r="D103" s="146" t="s">
        <v>117</v>
      </c>
      <c r="E103" s="146" t="s">
        <v>115</v>
      </c>
      <c r="F103" s="146" t="s">
        <v>585</v>
      </c>
      <c r="G103" s="171" t="s">
        <v>593</v>
      </c>
      <c r="H103" s="146" t="s">
        <v>184</v>
      </c>
      <c r="I103" s="146" t="s">
        <v>50</v>
      </c>
      <c r="J103" s="146" t="s">
        <v>362</v>
      </c>
      <c r="K103" s="146" t="s">
        <v>177</v>
      </c>
      <c r="L103" s="146" t="s">
        <v>41</v>
      </c>
      <c r="M103" s="146" t="s">
        <v>197</v>
      </c>
      <c r="N103" s="146" t="s">
        <v>44</v>
      </c>
      <c r="O103" s="146" t="s">
        <v>614</v>
      </c>
      <c r="P103" s="146" t="s">
        <v>616</v>
      </c>
      <c r="Q103" s="146" t="s">
        <v>103</v>
      </c>
      <c r="R103" s="156">
        <v>0</v>
      </c>
      <c r="S103" s="146" t="s">
        <v>126</v>
      </c>
      <c r="T103" s="146">
        <v>130</v>
      </c>
    </row>
    <row r="104" spans="1:20">
      <c r="A104" s="146" t="s">
        <v>501</v>
      </c>
      <c r="B104" s="146" t="s">
        <v>500</v>
      </c>
      <c r="C104" s="146">
        <v>2025</v>
      </c>
      <c r="D104" s="146" t="s">
        <v>117</v>
      </c>
      <c r="E104" s="146" t="s">
        <v>115</v>
      </c>
      <c r="F104" s="146" t="s">
        <v>585</v>
      </c>
      <c r="G104" s="171" t="s">
        <v>593</v>
      </c>
      <c r="H104" s="146" t="s">
        <v>197</v>
      </c>
      <c r="I104" s="146" t="s">
        <v>44</v>
      </c>
      <c r="J104" s="146" t="s">
        <v>359</v>
      </c>
      <c r="K104" s="146" t="s">
        <v>614</v>
      </c>
      <c r="L104" s="146" t="s">
        <v>616</v>
      </c>
      <c r="M104" s="146" t="s">
        <v>177</v>
      </c>
      <c r="N104" s="146" t="s">
        <v>41</v>
      </c>
      <c r="O104" s="146" t="s">
        <v>184</v>
      </c>
      <c r="P104" s="146" t="s">
        <v>50</v>
      </c>
      <c r="Q104" s="146" t="s">
        <v>102</v>
      </c>
      <c r="R104" s="156">
        <v>1</v>
      </c>
      <c r="S104" s="146" t="s">
        <v>126</v>
      </c>
      <c r="T104" s="146">
        <v>131</v>
      </c>
    </row>
    <row r="105" spans="1:20">
      <c r="A105" s="146" t="s">
        <v>501</v>
      </c>
      <c r="B105" s="146" t="s">
        <v>500</v>
      </c>
      <c r="C105" s="146">
        <v>2025</v>
      </c>
      <c r="D105" s="146" t="s">
        <v>117</v>
      </c>
      <c r="E105" s="146" t="s">
        <v>115</v>
      </c>
      <c r="F105" s="146" t="s">
        <v>585</v>
      </c>
      <c r="G105" s="171" t="s">
        <v>593</v>
      </c>
      <c r="H105" s="146" t="s">
        <v>614</v>
      </c>
      <c r="I105" s="146" t="s">
        <v>616</v>
      </c>
      <c r="J105" s="146" t="s">
        <v>359</v>
      </c>
      <c r="K105" s="146" t="s">
        <v>197</v>
      </c>
      <c r="L105" s="146" t="s">
        <v>44</v>
      </c>
      <c r="M105" s="146" t="s">
        <v>177</v>
      </c>
      <c r="N105" s="146" t="s">
        <v>41</v>
      </c>
      <c r="O105" s="146" t="s">
        <v>184</v>
      </c>
      <c r="P105" s="146" t="s">
        <v>50</v>
      </c>
      <c r="Q105" s="146" t="s">
        <v>102</v>
      </c>
      <c r="R105" s="156">
        <v>1</v>
      </c>
      <c r="S105" s="146" t="s">
        <v>126</v>
      </c>
      <c r="T105" s="146">
        <v>132</v>
      </c>
    </row>
    <row r="106" spans="1:20" ht="25.5">
      <c r="A106" s="146" t="s">
        <v>502</v>
      </c>
      <c r="B106" s="146" t="s">
        <v>500</v>
      </c>
      <c r="C106" s="146">
        <v>2025</v>
      </c>
      <c r="D106" s="146" t="s">
        <v>142</v>
      </c>
      <c r="E106" s="146" t="s">
        <v>503</v>
      </c>
      <c r="F106" s="146" t="s">
        <v>381</v>
      </c>
      <c r="G106" s="171" t="s">
        <v>596</v>
      </c>
      <c r="H106" s="146" t="s">
        <v>169</v>
      </c>
      <c r="I106" s="146" t="s">
        <v>42</v>
      </c>
      <c r="J106" s="146" t="s">
        <v>362</v>
      </c>
      <c r="K106" s="146"/>
      <c r="L106" s="146"/>
      <c r="M106" s="146" t="s">
        <v>505</v>
      </c>
      <c r="N106" s="146" t="s">
        <v>506</v>
      </c>
      <c r="O106" s="146"/>
      <c r="P106" s="146"/>
      <c r="Q106" s="146" t="s">
        <v>103</v>
      </c>
      <c r="R106" s="156">
        <v>0</v>
      </c>
      <c r="S106" s="146" t="s">
        <v>144</v>
      </c>
      <c r="T106" s="146"/>
    </row>
    <row r="107" spans="1:20" ht="25.5">
      <c r="A107" s="146" t="s">
        <v>502</v>
      </c>
      <c r="B107" s="146" t="s">
        <v>500</v>
      </c>
      <c r="C107" s="146">
        <v>2025</v>
      </c>
      <c r="D107" s="146" t="s">
        <v>142</v>
      </c>
      <c r="E107" s="146" t="s">
        <v>503</v>
      </c>
      <c r="F107" s="146" t="s">
        <v>381</v>
      </c>
      <c r="G107" s="171" t="s">
        <v>596</v>
      </c>
      <c r="H107" s="146" t="s">
        <v>177</v>
      </c>
      <c r="I107" s="146" t="s">
        <v>41</v>
      </c>
      <c r="J107" s="146" t="s">
        <v>362</v>
      </c>
      <c r="K107" s="146"/>
      <c r="L107" s="146"/>
      <c r="M107" s="146" t="s">
        <v>505</v>
      </c>
      <c r="N107" s="146" t="s">
        <v>506</v>
      </c>
      <c r="O107" s="146"/>
      <c r="P107" s="146"/>
      <c r="Q107" s="146" t="s">
        <v>103</v>
      </c>
      <c r="R107" s="156">
        <v>0</v>
      </c>
      <c r="S107" s="146" t="s">
        <v>144</v>
      </c>
      <c r="T107" s="146"/>
    </row>
    <row r="108" spans="1:20" ht="25.5">
      <c r="A108" s="146" t="s">
        <v>502</v>
      </c>
      <c r="B108" s="146" t="s">
        <v>500</v>
      </c>
      <c r="C108" s="146">
        <v>2025</v>
      </c>
      <c r="D108" s="146" t="s">
        <v>142</v>
      </c>
      <c r="E108" s="146" t="s">
        <v>503</v>
      </c>
      <c r="F108" s="146" t="s">
        <v>381</v>
      </c>
      <c r="G108" s="171" t="s">
        <v>596</v>
      </c>
      <c r="H108" s="146" t="s">
        <v>184</v>
      </c>
      <c r="I108" s="146" t="s">
        <v>50</v>
      </c>
      <c r="J108" s="146" t="s">
        <v>362</v>
      </c>
      <c r="K108" s="146"/>
      <c r="L108" s="146"/>
      <c r="M108" s="146" t="s">
        <v>505</v>
      </c>
      <c r="N108" s="146" t="s">
        <v>506</v>
      </c>
      <c r="O108" s="146"/>
      <c r="P108" s="146"/>
      <c r="Q108" s="146" t="s">
        <v>103</v>
      </c>
      <c r="R108" s="156">
        <v>0</v>
      </c>
      <c r="S108" s="146" t="s">
        <v>144</v>
      </c>
      <c r="T108" s="146"/>
    </row>
    <row r="109" spans="1:20" ht="25.5">
      <c r="A109" s="146" t="s">
        <v>502</v>
      </c>
      <c r="B109" s="146" t="s">
        <v>500</v>
      </c>
      <c r="C109" s="146">
        <v>2025</v>
      </c>
      <c r="D109" s="146" t="s">
        <v>142</v>
      </c>
      <c r="E109" s="146" t="s">
        <v>503</v>
      </c>
      <c r="F109" s="146" t="s">
        <v>381</v>
      </c>
      <c r="G109" s="171" t="s">
        <v>596</v>
      </c>
      <c r="H109" s="146" t="s">
        <v>190</v>
      </c>
      <c r="I109" s="146" t="s">
        <v>51</v>
      </c>
      <c r="J109" s="146" t="s">
        <v>362</v>
      </c>
      <c r="K109" s="146"/>
      <c r="L109" s="146"/>
      <c r="M109" s="146" t="s">
        <v>505</v>
      </c>
      <c r="N109" s="146" t="s">
        <v>506</v>
      </c>
      <c r="O109" s="146"/>
      <c r="P109" s="146"/>
      <c r="Q109" s="146" t="s">
        <v>103</v>
      </c>
      <c r="R109" s="156">
        <v>0</v>
      </c>
      <c r="S109" s="146" t="s">
        <v>144</v>
      </c>
      <c r="T109" s="146"/>
    </row>
    <row r="110" spans="1:20" ht="25.5">
      <c r="A110" s="146" t="s">
        <v>502</v>
      </c>
      <c r="B110" s="146" t="s">
        <v>500</v>
      </c>
      <c r="C110" s="146">
        <v>2025</v>
      </c>
      <c r="D110" s="146" t="s">
        <v>142</v>
      </c>
      <c r="E110" s="146" t="s">
        <v>503</v>
      </c>
      <c r="F110" s="146" t="s">
        <v>381</v>
      </c>
      <c r="G110" s="171" t="s">
        <v>596</v>
      </c>
      <c r="H110" s="146" t="s">
        <v>210</v>
      </c>
      <c r="I110" s="146" t="s">
        <v>43</v>
      </c>
      <c r="J110" s="146" t="s">
        <v>359</v>
      </c>
      <c r="K110" s="146"/>
      <c r="L110" s="146"/>
      <c r="M110" s="146" t="s">
        <v>504</v>
      </c>
      <c r="N110" s="146" t="s">
        <v>507</v>
      </c>
      <c r="O110" s="146"/>
      <c r="P110" s="146"/>
      <c r="Q110" s="146" t="s">
        <v>102</v>
      </c>
      <c r="R110" s="156">
        <v>1</v>
      </c>
      <c r="S110" s="146" t="s">
        <v>144</v>
      </c>
      <c r="T110" s="146"/>
    </row>
    <row r="111" spans="1:20" ht="25.5">
      <c r="A111" s="146" t="s">
        <v>502</v>
      </c>
      <c r="B111" s="146" t="s">
        <v>500</v>
      </c>
      <c r="C111" s="146">
        <v>2025</v>
      </c>
      <c r="D111" s="146" t="s">
        <v>142</v>
      </c>
      <c r="E111" s="146" t="s">
        <v>503</v>
      </c>
      <c r="F111" s="146" t="s">
        <v>381</v>
      </c>
      <c r="G111" s="171" t="s">
        <v>596</v>
      </c>
      <c r="H111" s="146" t="s">
        <v>197</v>
      </c>
      <c r="I111" s="146" t="s">
        <v>44</v>
      </c>
      <c r="J111" s="146" t="s">
        <v>359</v>
      </c>
      <c r="K111" s="146"/>
      <c r="L111" s="146"/>
      <c r="M111" s="146" t="s">
        <v>504</v>
      </c>
      <c r="N111" s="146" t="s">
        <v>507</v>
      </c>
      <c r="O111" s="146"/>
      <c r="P111" s="146"/>
      <c r="Q111" s="146" t="s">
        <v>102</v>
      </c>
      <c r="R111" s="156">
        <v>1</v>
      </c>
      <c r="S111" s="146" t="s">
        <v>144</v>
      </c>
      <c r="T111" s="146"/>
    </row>
    <row r="112" spans="1:20" ht="25.5">
      <c r="A112" s="146" t="s">
        <v>502</v>
      </c>
      <c r="B112" s="146" t="s">
        <v>500</v>
      </c>
      <c r="C112" s="146">
        <v>2025</v>
      </c>
      <c r="D112" s="146" t="s">
        <v>142</v>
      </c>
      <c r="E112" s="146" t="s">
        <v>503</v>
      </c>
      <c r="F112" s="146" t="s">
        <v>381</v>
      </c>
      <c r="G112" s="171" t="s">
        <v>596</v>
      </c>
      <c r="H112" s="146" t="s">
        <v>203</v>
      </c>
      <c r="I112" s="171" t="s">
        <v>52</v>
      </c>
      <c r="J112" s="146" t="s">
        <v>359</v>
      </c>
      <c r="K112" s="146"/>
      <c r="L112" s="146"/>
      <c r="M112" s="146" t="s">
        <v>504</v>
      </c>
      <c r="N112" s="146" t="s">
        <v>507</v>
      </c>
      <c r="O112" s="146"/>
      <c r="P112" s="146"/>
      <c r="Q112" s="146" t="s">
        <v>102</v>
      </c>
      <c r="R112" s="156">
        <v>1</v>
      </c>
      <c r="S112" s="146" t="s">
        <v>144</v>
      </c>
      <c r="T112" s="146">
        <v>133</v>
      </c>
    </row>
    <row r="113" spans="1:20" ht="25.5">
      <c r="A113" s="146" t="s">
        <v>502</v>
      </c>
      <c r="B113" s="146" t="s">
        <v>500</v>
      </c>
      <c r="C113" s="146">
        <v>2025</v>
      </c>
      <c r="D113" s="146" t="s">
        <v>142</v>
      </c>
      <c r="E113" s="146" t="s">
        <v>503</v>
      </c>
      <c r="F113" s="146" t="s">
        <v>381</v>
      </c>
      <c r="G113" s="171" t="s">
        <v>596</v>
      </c>
      <c r="H113" s="146" t="s">
        <v>614</v>
      </c>
      <c r="I113" s="171" t="s">
        <v>616</v>
      </c>
      <c r="J113" s="146" t="s">
        <v>359</v>
      </c>
      <c r="K113" s="146"/>
      <c r="L113" s="146"/>
      <c r="M113" s="146" t="s">
        <v>504</v>
      </c>
      <c r="N113" s="146" t="s">
        <v>507</v>
      </c>
      <c r="O113" s="146"/>
      <c r="P113" s="146"/>
      <c r="Q113" s="146" t="s">
        <v>102</v>
      </c>
      <c r="R113" s="156">
        <v>1</v>
      </c>
      <c r="S113" s="146" t="s">
        <v>144</v>
      </c>
      <c r="T113" s="146">
        <v>134</v>
      </c>
    </row>
    <row r="114" spans="1:20">
      <c r="A114" s="146" t="s">
        <v>508</v>
      </c>
      <c r="B114" s="146" t="s">
        <v>500</v>
      </c>
      <c r="C114" s="146">
        <v>2025</v>
      </c>
      <c r="D114" s="146" t="s">
        <v>123</v>
      </c>
      <c r="E114" s="146" t="s">
        <v>124</v>
      </c>
      <c r="F114" s="146" t="s">
        <v>586</v>
      </c>
      <c r="G114" s="171" t="s">
        <v>597</v>
      </c>
      <c r="H114" s="146" t="s">
        <v>169</v>
      </c>
      <c r="I114" s="146" t="s">
        <v>42</v>
      </c>
      <c r="J114" s="146" t="s">
        <v>362</v>
      </c>
      <c r="K114" s="146"/>
      <c r="L114" s="146"/>
      <c r="M114" s="146" t="s">
        <v>210</v>
      </c>
      <c r="N114" s="146" t="s">
        <v>43</v>
      </c>
      <c r="O114" s="146"/>
      <c r="P114" s="146"/>
      <c r="Q114" s="146" t="s">
        <v>103</v>
      </c>
      <c r="R114" s="156">
        <v>0</v>
      </c>
      <c r="S114" s="146" t="s">
        <v>129</v>
      </c>
      <c r="T114" s="146">
        <v>139</v>
      </c>
    </row>
    <row r="115" spans="1:20">
      <c r="A115" s="146" t="s">
        <v>508</v>
      </c>
      <c r="B115" s="146" t="s">
        <v>500</v>
      </c>
      <c r="C115" s="146">
        <v>2025</v>
      </c>
      <c r="D115" s="146" t="s">
        <v>123</v>
      </c>
      <c r="E115" s="146" t="s">
        <v>124</v>
      </c>
      <c r="F115" s="146" t="s">
        <v>586</v>
      </c>
      <c r="G115" s="171" t="s">
        <v>597</v>
      </c>
      <c r="H115" s="146" t="s">
        <v>210</v>
      </c>
      <c r="I115" s="146" t="s">
        <v>43</v>
      </c>
      <c r="J115" s="146" t="s">
        <v>359</v>
      </c>
      <c r="K115" s="146"/>
      <c r="L115" s="146"/>
      <c r="M115" s="146" t="s">
        <v>169</v>
      </c>
      <c r="N115" s="146" t="s">
        <v>42</v>
      </c>
      <c r="O115" s="146"/>
      <c r="P115" s="146"/>
      <c r="Q115" s="146" t="s">
        <v>102</v>
      </c>
      <c r="R115" s="156">
        <v>2</v>
      </c>
      <c r="S115" s="146" t="s">
        <v>129</v>
      </c>
      <c r="T115" s="146">
        <v>140</v>
      </c>
    </row>
    <row r="116" spans="1:20">
      <c r="A116" s="146" t="s">
        <v>509</v>
      </c>
      <c r="B116" s="146" t="s">
        <v>500</v>
      </c>
      <c r="C116" s="146">
        <v>2025</v>
      </c>
      <c r="D116" s="146" t="s">
        <v>123</v>
      </c>
      <c r="E116" s="146" t="s">
        <v>124</v>
      </c>
      <c r="F116" s="146" t="s">
        <v>586</v>
      </c>
      <c r="G116" s="171" t="s">
        <v>597</v>
      </c>
      <c r="H116" s="146" t="s">
        <v>190</v>
      </c>
      <c r="I116" s="146" t="s">
        <v>51</v>
      </c>
      <c r="J116" s="146" t="s">
        <v>362</v>
      </c>
      <c r="K116" s="146"/>
      <c r="L116" s="146"/>
      <c r="M116" s="146" t="s">
        <v>203</v>
      </c>
      <c r="N116" s="146" t="s">
        <v>52</v>
      </c>
      <c r="O116" s="146"/>
      <c r="P116" s="146"/>
      <c r="Q116" s="146" t="s">
        <v>103</v>
      </c>
      <c r="R116" s="156">
        <v>0</v>
      </c>
      <c r="S116" s="146" t="s">
        <v>145</v>
      </c>
      <c r="T116" s="146">
        <v>137</v>
      </c>
    </row>
    <row r="117" spans="1:20">
      <c r="A117" s="146" t="s">
        <v>509</v>
      </c>
      <c r="B117" s="146" t="s">
        <v>500</v>
      </c>
      <c r="C117" s="146">
        <v>2025</v>
      </c>
      <c r="D117" s="146" t="s">
        <v>123</v>
      </c>
      <c r="E117" s="146" t="s">
        <v>124</v>
      </c>
      <c r="F117" s="146" t="s">
        <v>586</v>
      </c>
      <c r="G117" s="171" t="s">
        <v>597</v>
      </c>
      <c r="H117" s="146" t="s">
        <v>203</v>
      </c>
      <c r="I117" s="146" t="s">
        <v>52</v>
      </c>
      <c r="J117" s="146" t="s">
        <v>359</v>
      </c>
      <c r="K117" s="146"/>
      <c r="L117" s="146"/>
      <c r="M117" s="146" t="s">
        <v>190</v>
      </c>
      <c r="N117" s="146" t="s">
        <v>51</v>
      </c>
      <c r="O117" s="146"/>
      <c r="P117" s="146"/>
      <c r="Q117" s="146" t="s">
        <v>102</v>
      </c>
      <c r="R117" s="156">
        <v>2</v>
      </c>
      <c r="S117" s="146" t="s">
        <v>145</v>
      </c>
      <c r="T117" s="146">
        <v>138</v>
      </c>
    </row>
    <row r="118" spans="1:20">
      <c r="A118" s="146" t="s">
        <v>509</v>
      </c>
      <c r="B118" s="146" t="s">
        <v>500</v>
      </c>
      <c r="C118" s="146">
        <v>2025</v>
      </c>
      <c r="D118" s="146" t="s">
        <v>123</v>
      </c>
      <c r="E118" s="146" t="s">
        <v>124</v>
      </c>
      <c r="F118" s="146" t="s">
        <v>586</v>
      </c>
      <c r="G118" s="171" t="s">
        <v>597</v>
      </c>
      <c r="H118" s="146" t="s">
        <v>184</v>
      </c>
      <c r="I118" s="146" t="s">
        <v>50</v>
      </c>
      <c r="J118" s="146" t="s">
        <v>362</v>
      </c>
      <c r="K118" s="146"/>
      <c r="L118" s="146"/>
      <c r="M118" s="146" t="s">
        <v>197</v>
      </c>
      <c r="N118" s="146" t="s">
        <v>44</v>
      </c>
      <c r="O118" s="146"/>
      <c r="P118" s="146"/>
      <c r="Q118" s="146" t="s">
        <v>103</v>
      </c>
      <c r="R118" s="156">
        <v>0</v>
      </c>
      <c r="S118" s="146" t="s">
        <v>145</v>
      </c>
      <c r="T118" s="146">
        <v>141</v>
      </c>
    </row>
    <row r="119" spans="1:20">
      <c r="A119" s="146" t="s">
        <v>509</v>
      </c>
      <c r="B119" s="146" t="s">
        <v>500</v>
      </c>
      <c r="C119" s="146">
        <v>2025</v>
      </c>
      <c r="D119" s="146" t="s">
        <v>123</v>
      </c>
      <c r="E119" s="146" t="s">
        <v>124</v>
      </c>
      <c r="F119" s="146" t="s">
        <v>586</v>
      </c>
      <c r="G119" s="171" t="s">
        <v>597</v>
      </c>
      <c r="H119" s="146" t="s">
        <v>197</v>
      </c>
      <c r="I119" s="146" t="s">
        <v>44</v>
      </c>
      <c r="J119" s="146" t="s">
        <v>359</v>
      </c>
      <c r="K119" s="146"/>
      <c r="L119" s="146"/>
      <c r="M119" s="146" t="s">
        <v>184</v>
      </c>
      <c r="N119" s="146" t="s">
        <v>50</v>
      </c>
      <c r="O119" s="146"/>
      <c r="P119" s="146"/>
      <c r="Q119" s="146" t="s">
        <v>102</v>
      </c>
      <c r="R119" s="156">
        <v>2</v>
      </c>
      <c r="S119" s="146" t="s">
        <v>145</v>
      </c>
      <c r="T119" s="146">
        <v>142</v>
      </c>
    </row>
    <row r="120" spans="1:20">
      <c r="A120" s="146" t="s">
        <v>510</v>
      </c>
      <c r="B120" s="146" t="s">
        <v>500</v>
      </c>
      <c r="C120" s="146">
        <v>2025</v>
      </c>
      <c r="D120" s="146" t="s">
        <v>123</v>
      </c>
      <c r="E120" s="146" t="s">
        <v>124</v>
      </c>
      <c r="F120" s="146" t="s">
        <v>586</v>
      </c>
      <c r="G120" s="171" t="s">
        <v>597</v>
      </c>
      <c r="H120" s="146" t="s">
        <v>177</v>
      </c>
      <c r="I120" s="146" t="s">
        <v>41</v>
      </c>
      <c r="J120" s="146" t="s">
        <v>362</v>
      </c>
      <c r="K120" s="146"/>
      <c r="L120" s="146"/>
      <c r="M120" s="146" t="s">
        <v>614</v>
      </c>
      <c r="N120" s="146" t="s">
        <v>616</v>
      </c>
      <c r="O120" s="146"/>
      <c r="P120" s="146"/>
      <c r="Q120" s="146" t="s">
        <v>102</v>
      </c>
      <c r="R120" s="156">
        <v>2</v>
      </c>
      <c r="S120" s="146" t="s">
        <v>127</v>
      </c>
      <c r="T120" s="146">
        <v>135</v>
      </c>
    </row>
    <row r="121" spans="1:20">
      <c r="A121" s="146" t="s">
        <v>510</v>
      </c>
      <c r="B121" s="146" t="s">
        <v>500</v>
      </c>
      <c r="C121" s="146">
        <v>2025</v>
      </c>
      <c r="D121" s="146" t="s">
        <v>123</v>
      </c>
      <c r="E121" s="146" t="s">
        <v>124</v>
      </c>
      <c r="F121" s="146" t="s">
        <v>586</v>
      </c>
      <c r="G121" s="171" t="s">
        <v>597</v>
      </c>
      <c r="H121" s="146" t="s">
        <v>614</v>
      </c>
      <c r="I121" s="146" t="s">
        <v>616</v>
      </c>
      <c r="J121" s="146" t="s">
        <v>359</v>
      </c>
      <c r="K121" s="146"/>
      <c r="L121" s="146"/>
      <c r="M121" s="146" t="s">
        <v>177</v>
      </c>
      <c r="N121" s="146" t="s">
        <v>41</v>
      </c>
      <c r="O121" s="146"/>
      <c r="P121" s="146"/>
      <c r="Q121" s="146" t="s">
        <v>103</v>
      </c>
      <c r="R121" s="156">
        <v>0</v>
      </c>
      <c r="S121" s="146" t="s">
        <v>127</v>
      </c>
      <c r="T121" s="146">
        <v>136</v>
      </c>
    </row>
  </sheetData>
  <dataValidations count="3">
    <dataValidation type="list" sqref="Q2:Q506" xr:uid="{00000000-0002-0000-0900-000000000000}">
      <formula1>"W,L,T"</formula1>
    </dataValidation>
    <dataValidation type="list" sqref="J2:J506" xr:uid="{00000000-0002-0000-0900-000001000000}">
      <formula1>"red,navy"</formula1>
    </dataValidation>
    <dataValidation type="list" sqref="E2:E506" xr:uid="{00000000-0002-0000-0900-000002000000}">
      <formula1>"Fourball,Singles,Scramble,4-man Scramble"</formula1>
    </dataValidation>
  </dataValidations>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96AFA-8984-415C-A91B-9A23C79B665B}">
  <dimension ref="A1:T235"/>
  <sheetViews>
    <sheetView workbookViewId="0">
      <pane xSplit="9" ySplit="4" topLeftCell="J61" activePane="bottomRight" state="frozen"/>
      <selection pane="topRight" activeCell="J1" sqref="J1"/>
      <selection pane="bottomLeft" activeCell="A5" sqref="A5"/>
      <selection pane="bottomRight" activeCell="D64" sqref="D64"/>
    </sheetView>
  </sheetViews>
  <sheetFormatPr defaultRowHeight="12.75"/>
  <cols>
    <col min="1" max="1" width="17.5703125" customWidth="1"/>
    <col min="2" max="2" width="10.28515625" customWidth="1"/>
    <col min="3" max="3" width="11.42578125" customWidth="1"/>
    <col min="4" max="5" width="50.85546875" customWidth="1"/>
    <col min="6" max="6" width="38.85546875" customWidth="1"/>
    <col min="7" max="7" width="12.42578125" customWidth="1"/>
    <col min="8" max="8" width="12.5703125" customWidth="1"/>
    <col min="9" max="9" width="16" customWidth="1"/>
    <col min="10" max="10" width="12.28515625" customWidth="1"/>
    <col min="11" max="11" width="27.42578125" customWidth="1"/>
    <col min="12" max="12" width="18.28515625" customWidth="1"/>
    <col min="13" max="14" width="13.7109375" customWidth="1"/>
    <col min="15" max="15" width="10.140625" customWidth="1"/>
    <col min="16" max="16" width="7.28515625" customWidth="1"/>
    <col min="17" max="17" width="12.5703125" customWidth="1"/>
    <col min="18" max="18" width="20.5703125" customWidth="1"/>
    <col min="19" max="19" width="50.28515625" customWidth="1"/>
  </cols>
  <sheetData>
    <row r="1" spans="1:20" ht="30" customHeight="1">
      <c r="A1" s="210" t="s">
        <v>617</v>
      </c>
      <c r="B1" s="210"/>
      <c r="C1" s="210"/>
      <c r="D1" s="210"/>
      <c r="E1" s="210"/>
      <c r="F1" s="210"/>
      <c r="G1" s="210"/>
      <c r="H1" s="210"/>
      <c r="I1" s="210"/>
      <c r="J1" s="210"/>
      <c r="K1" s="210"/>
      <c r="L1" s="210"/>
      <c r="M1" s="210"/>
      <c r="N1" s="210"/>
      <c r="O1" s="210"/>
      <c r="P1" s="210"/>
      <c r="Q1" s="210"/>
      <c r="R1" s="210"/>
      <c r="S1" s="210"/>
    </row>
    <row r="2" spans="1:20" ht="27.95" customHeight="1">
      <c r="A2" s="211" t="s">
        <v>618</v>
      </c>
      <c r="B2" s="211"/>
      <c r="C2" s="211"/>
      <c r="D2" s="211"/>
      <c r="E2" s="211"/>
      <c r="F2" s="211"/>
      <c r="G2" s="211"/>
      <c r="H2" s="211"/>
      <c r="I2" s="211"/>
      <c r="J2" s="211"/>
      <c r="K2" s="211"/>
      <c r="L2" s="211"/>
      <c r="M2" s="211"/>
      <c r="N2" s="211"/>
      <c r="O2" s="211"/>
      <c r="P2" s="211"/>
      <c r="Q2" s="211"/>
      <c r="R2" s="211"/>
      <c r="S2" s="211"/>
    </row>
    <row r="4" spans="1:20" ht="27.95" customHeight="1">
      <c r="A4" s="172" t="s">
        <v>524</v>
      </c>
      <c r="B4" s="172" t="s">
        <v>254</v>
      </c>
      <c r="C4" s="172" t="s">
        <v>619</v>
      </c>
      <c r="D4" s="172" t="s">
        <v>620</v>
      </c>
      <c r="E4" s="172" t="s">
        <v>621</v>
      </c>
      <c r="F4" s="172" t="s">
        <v>622</v>
      </c>
      <c r="G4" s="172" t="s">
        <v>623</v>
      </c>
      <c r="H4" s="172" t="s">
        <v>624</v>
      </c>
      <c r="I4" s="172" t="s">
        <v>625</v>
      </c>
      <c r="J4" s="172" t="s">
        <v>626</v>
      </c>
      <c r="K4" s="172" t="s">
        <v>627</v>
      </c>
      <c r="L4" s="172" t="s">
        <v>516</v>
      </c>
      <c r="M4" s="172" t="s">
        <v>527</v>
      </c>
      <c r="N4" s="172" t="s">
        <v>539</v>
      </c>
      <c r="O4" s="172" t="s">
        <v>628</v>
      </c>
      <c r="P4" s="172" t="s">
        <v>629</v>
      </c>
      <c r="Q4" s="172" t="s">
        <v>530</v>
      </c>
      <c r="R4" s="172" t="s">
        <v>240</v>
      </c>
      <c r="S4" s="172" t="s">
        <v>630</v>
      </c>
      <c r="T4" s="172" t="s">
        <v>631</v>
      </c>
    </row>
    <row r="5" spans="1:20" ht="33.950000000000003" customHeight="1">
      <c r="A5" s="173" t="s">
        <v>632</v>
      </c>
      <c r="B5" s="174">
        <v>2019</v>
      </c>
      <c r="C5" s="174">
        <v>1</v>
      </c>
      <c r="D5" s="175" t="s">
        <v>633</v>
      </c>
      <c r="E5" s="175" t="s">
        <v>634</v>
      </c>
      <c r="F5" s="175" t="s">
        <v>635</v>
      </c>
      <c r="G5" s="175" t="s">
        <v>636</v>
      </c>
      <c r="H5" s="175" t="s">
        <v>637</v>
      </c>
      <c r="I5" s="176">
        <v>928.6</v>
      </c>
      <c r="J5" s="177"/>
      <c r="K5" s="177"/>
      <c r="L5" s="178"/>
      <c r="M5" s="178"/>
      <c r="N5" s="178"/>
      <c r="O5" s="178"/>
      <c r="P5" s="177"/>
      <c r="Q5" s="177"/>
      <c r="R5" s="179" t="b">
        <v>0</v>
      </c>
      <c r="S5" s="177" t="s">
        <v>638</v>
      </c>
      <c r="T5" s="175"/>
    </row>
    <row r="6" spans="1:20" ht="33.950000000000003" customHeight="1">
      <c r="A6" s="173" t="s">
        <v>639</v>
      </c>
      <c r="B6" s="174">
        <v>2019</v>
      </c>
      <c r="C6" s="174">
        <v>2</v>
      </c>
      <c r="D6" s="175" t="s">
        <v>640</v>
      </c>
      <c r="E6" s="175" t="s">
        <v>641</v>
      </c>
      <c r="F6" s="175" t="s">
        <v>642</v>
      </c>
      <c r="G6" s="175"/>
      <c r="H6" s="175" t="s">
        <v>637</v>
      </c>
      <c r="I6" s="176">
        <v>702.3</v>
      </c>
      <c r="J6" s="177" t="s">
        <v>1060</v>
      </c>
      <c r="K6" s="177" t="s">
        <v>1061</v>
      </c>
      <c r="L6" s="178">
        <v>5</v>
      </c>
      <c r="M6" s="178" t="s">
        <v>177</v>
      </c>
      <c r="N6" s="178"/>
      <c r="O6" s="178"/>
      <c r="P6" s="177"/>
      <c r="Q6" s="177"/>
      <c r="R6" s="179" t="b">
        <v>1</v>
      </c>
      <c r="S6" s="177" t="s">
        <v>638</v>
      </c>
      <c r="T6" s="175"/>
    </row>
    <row r="7" spans="1:20" ht="33.950000000000003" customHeight="1">
      <c r="A7" s="173" t="s">
        <v>643</v>
      </c>
      <c r="B7" s="174">
        <v>2019</v>
      </c>
      <c r="C7" s="174">
        <v>3</v>
      </c>
      <c r="D7" s="175" t="s">
        <v>644</v>
      </c>
      <c r="E7" s="175" t="s">
        <v>645</v>
      </c>
      <c r="F7" s="175" t="s">
        <v>646</v>
      </c>
      <c r="G7" s="175" t="s">
        <v>647</v>
      </c>
      <c r="H7" s="175" t="s">
        <v>637</v>
      </c>
      <c r="I7" s="176">
        <v>1095.8</v>
      </c>
      <c r="J7" s="177" t="s">
        <v>1060</v>
      </c>
      <c r="K7" s="177" t="s">
        <v>1061</v>
      </c>
      <c r="L7" s="178">
        <v>10</v>
      </c>
      <c r="M7" s="180" t="s">
        <v>190</v>
      </c>
      <c r="N7" s="180"/>
      <c r="O7" s="178"/>
      <c r="P7" s="177"/>
      <c r="Q7" s="177"/>
      <c r="R7" s="179" t="b">
        <v>1</v>
      </c>
      <c r="S7" s="177" t="s">
        <v>638</v>
      </c>
      <c r="T7" s="175"/>
    </row>
    <row r="8" spans="1:20" ht="33.950000000000003" customHeight="1">
      <c r="A8" s="173" t="s">
        <v>648</v>
      </c>
      <c r="B8" s="174">
        <v>2019</v>
      </c>
      <c r="C8" s="174">
        <v>4</v>
      </c>
      <c r="D8" s="175" t="s">
        <v>649</v>
      </c>
      <c r="E8" s="175" t="s">
        <v>650</v>
      </c>
      <c r="F8" s="175" t="s">
        <v>651</v>
      </c>
      <c r="G8" s="175" t="s">
        <v>652</v>
      </c>
      <c r="H8" s="175" t="s">
        <v>637</v>
      </c>
      <c r="I8" s="176">
        <v>866</v>
      </c>
      <c r="J8" s="177"/>
      <c r="K8" s="177"/>
      <c r="L8" s="178"/>
      <c r="M8" s="178"/>
      <c r="N8" s="178"/>
      <c r="O8" s="178"/>
      <c r="P8" s="177"/>
      <c r="Q8" s="177"/>
      <c r="R8" s="179" t="b">
        <v>0</v>
      </c>
      <c r="S8" s="177" t="s">
        <v>638</v>
      </c>
      <c r="T8" s="175"/>
    </row>
    <row r="9" spans="1:20" ht="33.950000000000003" customHeight="1">
      <c r="A9" s="173" t="s">
        <v>653</v>
      </c>
      <c r="B9" s="174">
        <v>2019</v>
      </c>
      <c r="C9" s="174">
        <v>5</v>
      </c>
      <c r="D9" s="175" t="s">
        <v>654</v>
      </c>
      <c r="E9" s="175" t="s">
        <v>655</v>
      </c>
      <c r="F9" s="175" t="s">
        <v>635</v>
      </c>
      <c r="G9" s="175" t="s">
        <v>636</v>
      </c>
      <c r="H9" s="175" t="s">
        <v>637</v>
      </c>
      <c r="I9" s="176">
        <v>1028.3</v>
      </c>
      <c r="J9" s="177" t="s">
        <v>1060</v>
      </c>
      <c r="K9" s="177" t="s">
        <v>1061</v>
      </c>
      <c r="L9" s="178">
        <v>11</v>
      </c>
      <c r="M9" s="178" t="s">
        <v>203</v>
      </c>
      <c r="N9" s="178"/>
      <c r="O9" s="178"/>
      <c r="P9" s="177"/>
      <c r="Q9" s="177"/>
      <c r="R9" s="179" t="b">
        <v>1</v>
      </c>
      <c r="S9" s="177" t="s">
        <v>638</v>
      </c>
      <c r="T9" s="175"/>
    </row>
    <row r="10" spans="1:20" ht="33.950000000000003" customHeight="1">
      <c r="A10" s="173" t="s">
        <v>656</v>
      </c>
      <c r="B10" s="174">
        <v>2019</v>
      </c>
      <c r="C10" s="174">
        <v>6</v>
      </c>
      <c r="D10" s="175" t="s">
        <v>657</v>
      </c>
      <c r="E10" s="175" t="s">
        <v>658</v>
      </c>
      <c r="F10" s="175" t="s">
        <v>659</v>
      </c>
      <c r="G10" s="175" t="s">
        <v>660</v>
      </c>
      <c r="H10" s="175" t="s">
        <v>637</v>
      </c>
      <c r="I10" s="176">
        <v>943.7</v>
      </c>
      <c r="J10" s="177" t="s">
        <v>1060</v>
      </c>
      <c r="K10" s="177" t="s">
        <v>1061</v>
      </c>
      <c r="L10" s="178">
        <v>1</v>
      </c>
      <c r="M10" s="178" t="s">
        <v>197</v>
      </c>
      <c r="N10" s="178"/>
      <c r="O10" s="178"/>
      <c r="P10" s="177"/>
      <c r="Q10" s="177"/>
      <c r="R10" s="179" t="b">
        <v>1</v>
      </c>
      <c r="S10" s="177" t="s">
        <v>638</v>
      </c>
      <c r="T10" s="175"/>
    </row>
    <row r="11" spans="1:20" ht="33.950000000000003" customHeight="1">
      <c r="A11" s="173" t="s">
        <v>661</v>
      </c>
      <c r="B11" s="174">
        <v>2019</v>
      </c>
      <c r="C11" s="174">
        <v>7</v>
      </c>
      <c r="D11" s="175" t="s">
        <v>662</v>
      </c>
      <c r="E11" s="175" t="s">
        <v>663</v>
      </c>
      <c r="F11" s="175" t="s">
        <v>664</v>
      </c>
      <c r="G11" s="175" t="s">
        <v>660</v>
      </c>
      <c r="H11" s="175" t="s">
        <v>637</v>
      </c>
      <c r="I11" s="176">
        <v>1227.3</v>
      </c>
      <c r="J11" s="177" t="s">
        <v>1060</v>
      </c>
      <c r="K11" s="177" t="s">
        <v>1061</v>
      </c>
      <c r="L11" s="178">
        <v>8</v>
      </c>
      <c r="M11" s="180" t="s">
        <v>190</v>
      </c>
      <c r="N11" s="180"/>
      <c r="O11" s="178"/>
      <c r="P11" s="177"/>
      <c r="Q11" s="177"/>
      <c r="R11" s="179" t="b">
        <v>1</v>
      </c>
      <c r="S11" s="177" t="s">
        <v>638</v>
      </c>
      <c r="T11" s="175"/>
    </row>
    <row r="12" spans="1:20" ht="33.950000000000003" customHeight="1">
      <c r="A12" s="173" t="s">
        <v>665</v>
      </c>
      <c r="B12" s="174">
        <v>2019</v>
      </c>
      <c r="C12" s="174">
        <v>8</v>
      </c>
      <c r="D12" s="175" t="s">
        <v>1068</v>
      </c>
      <c r="E12" s="175" t="s">
        <v>1069</v>
      </c>
      <c r="F12" s="175" t="s">
        <v>635</v>
      </c>
      <c r="G12" s="175" t="s">
        <v>666</v>
      </c>
      <c r="H12" s="175" t="s">
        <v>637</v>
      </c>
      <c r="I12" s="176">
        <v>1208.2</v>
      </c>
      <c r="J12" s="177" t="s">
        <v>1060</v>
      </c>
      <c r="K12" s="177" t="s">
        <v>1061</v>
      </c>
      <c r="L12" s="178">
        <v>10</v>
      </c>
      <c r="M12" s="178" t="s">
        <v>203</v>
      </c>
      <c r="N12" s="178"/>
      <c r="O12" s="178"/>
      <c r="P12" s="177"/>
      <c r="Q12" s="177"/>
      <c r="R12" s="179" t="b">
        <v>1</v>
      </c>
      <c r="S12" s="177" t="s">
        <v>638</v>
      </c>
      <c r="T12" s="175" t="s">
        <v>667</v>
      </c>
    </row>
    <row r="13" spans="1:20" ht="33.950000000000003" customHeight="1">
      <c r="A13" s="173" t="s">
        <v>668</v>
      </c>
      <c r="B13" s="174">
        <v>2019</v>
      </c>
      <c r="C13" s="174">
        <v>9</v>
      </c>
      <c r="D13" s="175" t="s">
        <v>669</v>
      </c>
      <c r="E13" s="175" t="s">
        <v>670</v>
      </c>
      <c r="F13" s="175" t="s">
        <v>671</v>
      </c>
      <c r="G13" s="175" t="s">
        <v>660</v>
      </c>
      <c r="H13" s="175" t="s">
        <v>637</v>
      </c>
      <c r="I13" s="176">
        <v>176.5</v>
      </c>
      <c r="J13" s="177"/>
      <c r="K13" s="177"/>
      <c r="L13" s="178"/>
      <c r="M13" s="178"/>
      <c r="N13" s="178"/>
      <c r="O13" s="178"/>
      <c r="P13" s="177"/>
      <c r="Q13" s="177"/>
      <c r="R13" s="179" t="b">
        <v>0</v>
      </c>
      <c r="S13" s="177" t="s">
        <v>638</v>
      </c>
      <c r="T13" s="175"/>
    </row>
    <row r="14" spans="1:20" ht="33.950000000000003" customHeight="1">
      <c r="A14" s="173" t="s">
        <v>672</v>
      </c>
      <c r="B14" s="174">
        <v>2019</v>
      </c>
      <c r="C14" s="174">
        <v>10</v>
      </c>
      <c r="D14" s="175" t="s">
        <v>673</v>
      </c>
      <c r="E14" s="175" t="s">
        <v>674</v>
      </c>
      <c r="F14" s="175" t="s">
        <v>671</v>
      </c>
      <c r="G14" s="175" t="s">
        <v>675</v>
      </c>
      <c r="H14" s="175" t="s">
        <v>637</v>
      </c>
      <c r="I14" s="176">
        <v>111.9</v>
      </c>
      <c r="J14" s="177"/>
      <c r="K14" s="177"/>
      <c r="L14" s="178"/>
      <c r="M14" s="178"/>
      <c r="N14" s="178"/>
      <c r="O14" s="178"/>
      <c r="P14" s="177"/>
      <c r="Q14" s="177"/>
      <c r="R14" s="179" t="b">
        <v>0</v>
      </c>
      <c r="S14" s="177" t="s">
        <v>638</v>
      </c>
      <c r="T14" s="175"/>
    </row>
    <row r="15" spans="1:20" ht="33.950000000000003" customHeight="1">
      <c r="A15" s="173" t="s">
        <v>676</v>
      </c>
      <c r="B15" s="174">
        <v>2019</v>
      </c>
      <c r="C15" s="174">
        <v>11</v>
      </c>
      <c r="D15" s="175" t="s">
        <v>677</v>
      </c>
      <c r="E15" s="175" t="s">
        <v>678</v>
      </c>
      <c r="F15" s="175" t="s">
        <v>679</v>
      </c>
      <c r="G15" s="175" t="s">
        <v>675</v>
      </c>
      <c r="H15" s="175" t="s">
        <v>637</v>
      </c>
      <c r="I15" s="176">
        <v>127.4</v>
      </c>
      <c r="J15" s="177" t="s">
        <v>1060</v>
      </c>
      <c r="K15" s="177" t="s">
        <v>1061</v>
      </c>
      <c r="L15" s="178">
        <v>11</v>
      </c>
      <c r="M15" s="180" t="s">
        <v>190</v>
      </c>
      <c r="N15" s="180"/>
      <c r="O15" s="178"/>
      <c r="P15" s="177"/>
      <c r="Q15" s="177"/>
      <c r="R15" s="179" t="b">
        <v>1</v>
      </c>
      <c r="S15" s="177" t="s">
        <v>638</v>
      </c>
      <c r="T15" s="175"/>
    </row>
    <row r="16" spans="1:20" ht="33.950000000000003" customHeight="1">
      <c r="A16" s="173" t="s">
        <v>680</v>
      </c>
      <c r="B16" s="174">
        <v>2019</v>
      </c>
      <c r="C16" s="174">
        <v>12</v>
      </c>
      <c r="D16" s="175" t="s">
        <v>681</v>
      </c>
      <c r="E16" s="175" t="s">
        <v>682</v>
      </c>
      <c r="F16" s="175" t="s">
        <v>683</v>
      </c>
      <c r="G16" s="175" t="s">
        <v>666</v>
      </c>
      <c r="H16" s="175" t="s">
        <v>637</v>
      </c>
      <c r="I16" s="176">
        <v>228.9</v>
      </c>
      <c r="J16" s="177" t="s">
        <v>1060</v>
      </c>
      <c r="K16" s="177" t="s">
        <v>1061</v>
      </c>
      <c r="L16" s="178">
        <v>8</v>
      </c>
      <c r="M16" s="178" t="s">
        <v>210</v>
      </c>
      <c r="N16" s="178"/>
      <c r="O16" s="178"/>
      <c r="P16" s="177"/>
      <c r="Q16" s="177"/>
      <c r="R16" s="179" t="b">
        <v>1</v>
      </c>
      <c r="S16" s="177" t="s">
        <v>638</v>
      </c>
      <c r="T16" s="175"/>
    </row>
    <row r="17" spans="1:20" ht="33.950000000000003" customHeight="1">
      <c r="A17" s="173" t="s">
        <v>684</v>
      </c>
      <c r="B17" s="174">
        <v>2019</v>
      </c>
      <c r="C17" s="174">
        <v>13</v>
      </c>
      <c r="D17" s="175" t="s">
        <v>685</v>
      </c>
      <c r="E17" s="175" t="s">
        <v>686</v>
      </c>
      <c r="F17" s="175" t="s">
        <v>683</v>
      </c>
      <c r="G17" s="175" t="s">
        <v>666</v>
      </c>
      <c r="H17" s="175" t="s">
        <v>637</v>
      </c>
      <c r="I17" s="176">
        <v>118.5</v>
      </c>
      <c r="J17" s="177"/>
      <c r="K17" s="177"/>
      <c r="L17" s="178"/>
      <c r="M17" s="178"/>
      <c r="N17" s="178"/>
      <c r="O17" s="178"/>
      <c r="P17" s="177"/>
      <c r="Q17" s="177"/>
      <c r="R17" s="179" t="b">
        <v>0</v>
      </c>
      <c r="S17" s="177" t="s">
        <v>638</v>
      </c>
      <c r="T17" s="175"/>
    </row>
    <row r="18" spans="1:20" ht="33.950000000000003" customHeight="1">
      <c r="A18" s="173" t="s">
        <v>687</v>
      </c>
      <c r="B18" s="174">
        <v>2019</v>
      </c>
      <c r="C18" s="174">
        <v>14</v>
      </c>
      <c r="D18" s="175" t="s">
        <v>688</v>
      </c>
      <c r="E18" s="175" t="s">
        <v>689</v>
      </c>
      <c r="F18" s="175" t="s">
        <v>659</v>
      </c>
      <c r="G18" s="175" t="s">
        <v>660</v>
      </c>
      <c r="H18" s="175" t="s">
        <v>637</v>
      </c>
      <c r="I18" s="176">
        <v>845.1</v>
      </c>
      <c r="J18" s="177"/>
      <c r="K18" s="177"/>
      <c r="L18" s="178"/>
      <c r="M18" s="178"/>
      <c r="N18" s="178"/>
      <c r="O18" s="178"/>
      <c r="P18" s="177"/>
      <c r="Q18" s="177"/>
      <c r="R18" s="179" t="b">
        <v>0</v>
      </c>
      <c r="S18" s="177" t="s">
        <v>638</v>
      </c>
      <c r="T18" s="175"/>
    </row>
    <row r="19" spans="1:20" ht="33.950000000000003" customHeight="1">
      <c r="A19" s="173" t="s">
        <v>690</v>
      </c>
      <c r="B19" s="174">
        <v>2019</v>
      </c>
      <c r="C19" s="174">
        <v>15</v>
      </c>
      <c r="D19" s="175" t="s">
        <v>691</v>
      </c>
      <c r="E19" s="175" t="s">
        <v>692</v>
      </c>
      <c r="F19" s="175" t="s">
        <v>693</v>
      </c>
      <c r="G19" s="175" t="s">
        <v>660</v>
      </c>
      <c r="H19" s="175" t="s">
        <v>637</v>
      </c>
      <c r="I19" s="176">
        <v>846.8</v>
      </c>
      <c r="J19" s="177"/>
      <c r="K19" s="177"/>
      <c r="L19" s="178"/>
      <c r="M19" s="178"/>
      <c r="N19" s="178"/>
      <c r="O19" s="178"/>
      <c r="P19" s="177"/>
      <c r="Q19" s="177"/>
      <c r="R19" s="179" t="b">
        <v>0</v>
      </c>
      <c r="S19" s="177" t="s">
        <v>638</v>
      </c>
      <c r="T19" s="175"/>
    </row>
    <row r="20" spans="1:20" ht="33.950000000000003" customHeight="1">
      <c r="A20" s="173" t="s">
        <v>694</v>
      </c>
      <c r="B20" s="174">
        <v>2019</v>
      </c>
      <c r="C20" s="174">
        <v>16</v>
      </c>
      <c r="D20" s="175" t="s">
        <v>695</v>
      </c>
      <c r="E20" s="175" t="s">
        <v>696</v>
      </c>
      <c r="F20" s="175" t="s">
        <v>697</v>
      </c>
      <c r="G20" s="175" t="s">
        <v>666</v>
      </c>
      <c r="H20" s="175" t="s">
        <v>637</v>
      </c>
      <c r="I20" s="176">
        <v>1262.8</v>
      </c>
      <c r="J20" s="177" t="s">
        <v>1060</v>
      </c>
      <c r="K20" s="177" t="s">
        <v>1061</v>
      </c>
      <c r="L20" s="178">
        <v>8</v>
      </c>
      <c r="M20" s="178" t="s">
        <v>184</v>
      </c>
      <c r="N20" s="178"/>
      <c r="O20" s="178"/>
      <c r="P20" s="177"/>
      <c r="Q20" s="177"/>
      <c r="R20" s="179" t="b">
        <v>1</v>
      </c>
      <c r="S20" s="177" t="s">
        <v>638</v>
      </c>
      <c r="T20" s="175"/>
    </row>
    <row r="21" spans="1:20" ht="33.950000000000003" customHeight="1">
      <c r="A21" s="173" t="s">
        <v>698</v>
      </c>
      <c r="B21" s="174">
        <v>2019</v>
      </c>
      <c r="C21" s="174">
        <v>17</v>
      </c>
      <c r="D21" s="175" t="s">
        <v>699</v>
      </c>
      <c r="E21" s="175" t="s">
        <v>700</v>
      </c>
      <c r="F21" s="175" t="s">
        <v>683</v>
      </c>
      <c r="G21" s="175" t="s">
        <v>636</v>
      </c>
      <c r="H21" s="175" t="s">
        <v>637</v>
      </c>
      <c r="I21" s="176">
        <v>887.8</v>
      </c>
      <c r="J21" s="177"/>
      <c r="K21" s="177"/>
      <c r="L21" s="178"/>
      <c r="M21" s="178"/>
      <c r="N21" s="178"/>
      <c r="O21" s="178"/>
      <c r="P21" s="177"/>
      <c r="Q21" s="177"/>
      <c r="R21" s="179" t="b">
        <v>0</v>
      </c>
      <c r="S21" s="177" t="s">
        <v>638</v>
      </c>
      <c r="T21" s="175"/>
    </row>
    <row r="22" spans="1:20" ht="33.950000000000003" customHeight="1">
      <c r="A22" s="173" t="s">
        <v>701</v>
      </c>
      <c r="B22" s="174">
        <v>2019</v>
      </c>
      <c r="C22" s="174">
        <v>18</v>
      </c>
      <c r="D22" s="175" t="s">
        <v>702</v>
      </c>
      <c r="E22" s="175" t="s">
        <v>703</v>
      </c>
      <c r="F22" s="175" t="s">
        <v>693</v>
      </c>
      <c r="G22" s="175" t="s">
        <v>666</v>
      </c>
      <c r="H22" s="175" t="s">
        <v>637</v>
      </c>
      <c r="I22" s="176">
        <v>885.8</v>
      </c>
      <c r="J22" s="177" t="s">
        <v>1060</v>
      </c>
      <c r="K22" s="177" t="s">
        <v>1061</v>
      </c>
      <c r="L22" s="178">
        <v>9</v>
      </c>
      <c r="M22" s="178" t="s">
        <v>614</v>
      </c>
      <c r="N22" s="178"/>
      <c r="O22" s="178"/>
      <c r="P22" s="177"/>
      <c r="Q22" s="177"/>
      <c r="R22" s="179" t="b">
        <v>1</v>
      </c>
      <c r="S22" s="177" t="s">
        <v>638</v>
      </c>
      <c r="T22" s="175"/>
    </row>
    <row r="23" spans="1:20" ht="33.950000000000003" customHeight="1">
      <c r="A23" s="173" t="s">
        <v>704</v>
      </c>
      <c r="B23" s="174">
        <v>2019</v>
      </c>
      <c r="C23" s="174">
        <v>19</v>
      </c>
      <c r="D23" s="175" t="s">
        <v>705</v>
      </c>
      <c r="E23" s="175" t="s">
        <v>706</v>
      </c>
      <c r="F23" s="175" t="s">
        <v>697</v>
      </c>
      <c r="G23" s="175" t="s">
        <v>666</v>
      </c>
      <c r="H23" s="175" t="s">
        <v>637</v>
      </c>
      <c r="I23" s="176">
        <v>1194.9000000000001</v>
      </c>
      <c r="J23" s="177" t="s">
        <v>1060</v>
      </c>
      <c r="K23" s="177" t="s">
        <v>1061</v>
      </c>
      <c r="L23" s="178">
        <v>9</v>
      </c>
      <c r="M23" s="178" t="s">
        <v>184</v>
      </c>
      <c r="N23" s="178"/>
      <c r="O23" s="178"/>
      <c r="P23" s="177"/>
      <c r="Q23" s="177"/>
      <c r="R23" s="179" t="b">
        <v>1</v>
      </c>
      <c r="S23" s="177" t="s">
        <v>638</v>
      </c>
      <c r="T23" s="175"/>
    </row>
    <row r="24" spans="1:20" ht="33.950000000000003" customHeight="1">
      <c r="A24" s="173" t="s">
        <v>707</v>
      </c>
      <c r="B24" s="174">
        <v>2019</v>
      </c>
      <c r="C24" s="174">
        <v>20</v>
      </c>
      <c r="D24" s="175" t="s">
        <v>708</v>
      </c>
      <c r="E24" s="175" t="s">
        <v>709</v>
      </c>
      <c r="F24" s="175" t="s">
        <v>710</v>
      </c>
      <c r="G24" s="175" t="s">
        <v>636</v>
      </c>
      <c r="H24" s="175" t="s">
        <v>637</v>
      </c>
      <c r="I24" s="176">
        <v>1020.2</v>
      </c>
      <c r="J24" s="177"/>
      <c r="K24" s="177"/>
      <c r="L24" s="178"/>
      <c r="M24" s="178"/>
      <c r="N24" s="178"/>
      <c r="O24" s="178"/>
      <c r="P24" s="177"/>
      <c r="Q24" s="177"/>
      <c r="R24" s="179" t="b">
        <v>0</v>
      </c>
      <c r="S24" s="177" t="s">
        <v>638</v>
      </c>
      <c r="T24" s="175"/>
    </row>
    <row r="25" spans="1:20" ht="33.950000000000003" customHeight="1">
      <c r="A25" s="173" t="s">
        <v>711</v>
      </c>
      <c r="B25" s="174">
        <v>2019</v>
      </c>
      <c r="C25" s="174">
        <v>21</v>
      </c>
      <c r="D25" s="175" t="s">
        <v>712</v>
      </c>
      <c r="E25" s="175" t="s">
        <v>713</v>
      </c>
      <c r="F25" s="175" t="s">
        <v>659</v>
      </c>
      <c r="G25" s="175" t="s">
        <v>666</v>
      </c>
      <c r="H25" s="175" t="s">
        <v>637</v>
      </c>
      <c r="I25" s="176">
        <v>355.1</v>
      </c>
      <c r="J25" s="177" t="s">
        <v>1060</v>
      </c>
      <c r="K25" s="177" t="s">
        <v>1061</v>
      </c>
      <c r="L25" s="178">
        <v>11</v>
      </c>
      <c r="M25" s="178" t="s">
        <v>197</v>
      </c>
      <c r="N25" s="178"/>
      <c r="O25" s="178"/>
      <c r="P25" s="177"/>
      <c r="Q25" s="177"/>
      <c r="R25" s="179" t="b">
        <v>1</v>
      </c>
      <c r="S25" s="177" t="s">
        <v>638</v>
      </c>
      <c r="T25" s="175"/>
    </row>
    <row r="26" spans="1:20" ht="33.950000000000003" customHeight="1">
      <c r="A26" s="173" t="s">
        <v>714</v>
      </c>
      <c r="B26" s="174">
        <v>2019</v>
      </c>
      <c r="C26" s="174">
        <v>22</v>
      </c>
      <c r="D26" s="175" t="s">
        <v>715</v>
      </c>
      <c r="E26" s="175" t="s">
        <v>716</v>
      </c>
      <c r="F26" s="175" t="s">
        <v>710</v>
      </c>
      <c r="G26" s="175" t="s">
        <v>666</v>
      </c>
      <c r="H26" s="175" t="s">
        <v>637</v>
      </c>
      <c r="I26" s="176">
        <v>269.89999999999998</v>
      </c>
      <c r="J26" s="177" t="s">
        <v>1060</v>
      </c>
      <c r="K26" s="177" t="s">
        <v>1061</v>
      </c>
      <c r="L26" s="178">
        <v>6</v>
      </c>
      <c r="M26" s="178" t="s">
        <v>177</v>
      </c>
      <c r="N26" s="178"/>
      <c r="O26" s="178"/>
      <c r="P26" s="177"/>
      <c r="Q26" s="177"/>
      <c r="R26" s="179" t="b">
        <v>1</v>
      </c>
      <c r="S26" s="177" t="s">
        <v>638</v>
      </c>
      <c r="T26" s="175"/>
    </row>
    <row r="27" spans="1:20" ht="33.950000000000003" customHeight="1">
      <c r="A27" s="173" t="s">
        <v>717</v>
      </c>
      <c r="B27" s="174">
        <v>2019</v>
      </c>
      <c r="C27" s="174">
        <v>23</v>
      </c>
      <c r="D27" s="175" t="s">
        <v>718</v>
      </c>
      <c r="E27" s="175" t="s">
        <v>719</v>
      </c>
      <c r="F27" s="175" t="s">
        <v>683</v>
      </c>
      <c r="G27" s="175" t="s">
        <v>666</v>
      </c>
      <c r="H27" s="175" t="s">
        <v>637</v>
      </c>
      <c r="I27" s="176">
        <v>242.6</v>
      </c>
      <c r="J27" s="177"/>
      <c r="K27" s="177"/>
      <c r="L27" s="178"/>
      <c r="M27" s="178"/>
      <c r="N27" s="178"/>
      <c r="O27" s="178"/>
      <c r="P27" s="177"/>
      <c r="Q27" s="177"/>
      <c r="R27" s="179" t="b">
        <v>0</v>
      </c>
      <c r="S27" s="177" t="s">
        <v>638</v>
      </c>
      <c r="T27" s="175"/>
    </row>
    <row r="28" spans="1:20" ht="33.950000000000003" customHeight="1">
      <c r="A28" s="173" t="s">
        <v>720</v>
      </c>
      <c r="B28" s="174">
        <v>2019</v>
      </c>
      <c r="C28" s="174">
        <v>24</v>
      </c>
      <c r="D28" s="175" t="s">
        <v>721</v>
      </c>
      <c r="E28" s="175" t="s">
        <v>722</v>
      </c>
      <c r="F28" s="175" t="s">
        <v>723</v>
      </c>
      <c r="G28" s="175" t="s">
        <v>666</v>
      </c>
      <c r="H28" s="175" t="s">
        <v>637</v>
      </c>
      <c r="I28" s="176">
        <v>446.7</v>
      </c>
      <c r="J28" s="177" t="s">
        <v>1060</v>
      </c>
      <c r="K28" s="177" t="s">
        <v>1061</v>
      </c>
      <c r="L28" s="178">
        <v>7</v>
      </c>
      <c r="M28" s="178" t="s">
        <v>169</v>
      </c>
      <c r="N28" s="178"/>
      <c r="O28" s="178"/>
      <c r="P28" s="177"/>
      <c r="Q28" s="177"/>
      <c r="R28" s="179" t="b">
        <v>1</v>
      </c>
      <c r="S28" s="177" t="s">
        <v>638</v>
      </c>
      <c r="T28" s="175"/>
    </row>
    <row r="29" spans="1:20" ht="33.950000000000003" customHeight="1">
      <c r="A29" s="173" t="s">
        <v>724</v>
      </c>
      <c r="B29" s="174">
        <v>2019</v>
      </c>
      <c r="C29" s="174">
        <v>25</v>
      </c>
      <c r="D29" s="175" t="s">
        <v>725</v>
      </c>
      <c r="E29" s="175" t="s">
        <v>726</v>
      </c>
      <c r="F29" s="175" t="s">
        <v>697</v>
      </c>
      <c r="G29" s="175" t="s">
        <v>666</v>
      </c>
      <c r="H29" s="175" t="s">
        <v>637</v>
      </c>
      <c r="I29" s="176">
        <v>398.2</v>
      </c>
      <c r="J29" s="177" t="s">
        <v>1060</v>
      </c>
      <c r="K29" s="177" t="s">
        <v>1061</v>
      </c>
      <c r="L29" s="178">
        <v>10</v>
      </c>
      <c r="M29" s="178" t="s">
        <v>184</v>
      </c>
      <c r="N29" s="178"/>
      <c r="O29" s="178"/>
      <c r="P29" s="177"/>
      <c r="Q29" s="177"/>
      <c r="R29" s="179" t="b">
        <v>1</v>
      </c>
      <c r="S29" s="177" t="s">
        <v>638</v>
      </c>
      <c r="T29" s="175"/>
    </row>
    <row r="30" spans="1:20" ht="33.950000000000003" customHeight="1">
      <c r="A30" s="173" t="s">
        <v>727</v>
      </c>
      <c r="B30" s="174">
        <v>2019</v>
      </c>
      <c r="C30" s="174">
        <v>26</v>
      </c>
      <c r="D30" s="175" t="s">
        <v>728</v>
      </c>
      <c r="E30" s="175" t="s">
        <v>729</v>
      </c>
      <c r="F30" s="175" t="s">
        <v>697</v>
      </c>
      <c r="G30" s="175" t="s">
        <v>666</v>
      </c>
      <c r="H30" s="175" t="s">
        <v>637</v>
      </c>
      <c r="I30" s="176">
        <v>379</v>
      </c>
      <c r="J30" s="177" t="s">
        <v>1060</v>
      </c>
      <c r="K30" s="177" t="s">
        <v>1061</v>
      </c>
      <c r="L30" s="178">
        <v>11</v>
      </c>
      <c r="M30" s="178" t="s">
        <v>184</v>
      </c>
      <c r="N30" s="178"/>
      <c r="O30" s="178"/>
      <c r="P30" s="177"/>
      <c r="Q30" s="177"/>
      <c r="R30" s="179" t="b">
        <v>1</v>
      </c>
      <c r="S30" s="177" t="s">
        <v>638</v>
      </c>
      <c r="T30" s="175"/>
    </row>
    <row r="31" spans="1:20" ht="33.950000000000003" customHeight="1">
      <c r="A31" s="173" t="s">
        <v>730</v>
      </c>
      <c r="B31" s="174">
        <v>2019</v>
      </c>
      <c r="C31" s="174">
        <v>27</v>
      </c>
      <c r="D31" s="175" t="s">
        <v>731</v>
      </c>
      <c r="E31" s="175" t="s">
        <v>732</v>
      </c>
      <c r="F31" s="175" t="s">
        <v>693</v>
      </c>
      <c r="G31" s="175" t="s">
        <v>666</v>
      </c>
      <c r="H31" s="175" t="s">
        <v>637</v>
      </c>
      <c r="I31" s="176">
        <v>610.6</v>
      </c>
      <c r="J31" s="177"/>
      <c r="K31" s="177"/>
      <c r="L31" s="178"/>
      <c r="M31" s="178"/>
      <c r="N31" s="178"/>
      <c r="O31" s="178"/>
      <c r="P31" s="177"/>
      <c r="Q31" s="177"/>
      <c r="R31" s="179" t="b">
        <v>0</v>
      </c>
      <c r="S31" s="177" t="s">
        <v>638</v>
      </c>
      <c r="T31" s="175"/>
    </row>
    <row r="32" spans="1:20" ht="33.950000000000003" customHeight="1">
      <c r="A32" s="173" t="s">
        <v>733</v>
      </c>
      <c r="B32" s="174">
        <v>2019</v>
      </c>
      <c r="C32" s="174">
        <v>28</v>
      </c>
      <c r="D32" s="175" t="s">
        <v>734</v>
      </c>
      <c r="E32" s="175" t="s">
        <v>735</v>
      </c>
      <c r="F32" s="175" t="s">
        <v>723</v>
      </c>
      <c r="G32" s="175" t="s">
        <v>666</v>
      </c>
      <c r="H32" s="175" t="s">
        <v>736</v>
      </c>
      <c r="I32" s="176">
        <v>10977.6</v>
      </c>
      <c r="J32" s="177" t="s">
        <v>1060</v>
      </c>
      <c r="K32" s="177" t="s">
        <v>1061</v>
      </c>
      <c r="L32" s="178">
        <v>10</v>
      </c>
      <c r="M32" s="178" t="s">
        <v>169</v>
      </c>
      <c r="N32" s="178"/>
      <c r="O32" s="178"/>
      <c r="P32" s="177"/>
      <c r="Q32" s="177"/>
      <c r="R32" s="179" t="b">
        <v>1</v>
      </c>
      <c r="S32" s="177" t="s">
        <v>638</v>
      </c>
      <c r="T32" s="175"/>
    </row>
    <row r="33" spans="1:20" ht="33.950000000000003" customHeight="1">
      <c r="A33" s="173" t="s">
        <v>737</v>
      </c>
      <c r="B33" s="174">
        <v>2019</v>
      </c>
      <c r="C33" s="174">
        <v>29</v>
      </c>
      <c r="D33" s="175" t="s">
        <v>738</v>
      </c>
      <c r="E33" s="175" t="s">
        <v>739</v>
      </c>
      <c r="F33" s="175" t="s">
        <v>211</v>
      </c>
      <c r="G33" s="175" t="s">
        <v>666</v>
      </c>
      <c r="H33" s="175" t="s">
        <v>740</v>
      </c>
      <c r="I33" s="176">
        <v>2874</v>
      </c>
      <c r="J33" s="177"/>
      <c r="K33" s="177"/>
      <c r="L33" s="178"/>
      <c r="M33" s="178"/>
      <c r="N33" s="178"/>
      <c r="O33" s="178"/>
      <c r="P33" s="177"/>
      <c r="Q33" s="177"/>
      <c r="R33" s="179" t="b">
        <v>0</v>
      </c>
      <c r="S33" s="177" t="s">
        <v>638</v>
      </c>
      <c r="T33" s="175"/>
    </row>
    <row r="34" spans="1:20" ht="33.950000000000003" customHeight="1">
      <c r="A34" s="173" t="s">
        <v>741</v>
      </c>
      <c r="B34" s="174">
        <v>2019</v>
      </c>
      <c r="C34" s="174">
        <v>30</v>
      </c>
      <c r="D34" s="175" t="s">
        <v>742</v>
      </c>
      <c r="E34" s="175" t="s">
        <v>743</v>
      </c>
      <c r="F34" s="175" t="s">
        <v>744</v>
      </c>
      <c r="G34" s="175" t="s">
        <v>745</v>
      </c>
      <c r="H34" s="175" t="s">
        <v>637</v>
      </c>
      <c r="I34" s="176">
        <v>4251.3999999999996</v>
      </c>
      <c r="J34" s="177"/>
      <c r="K34" s="177"/>
      <c r="L34" s="178"/>
      <c r="M34" s="178"/>
      <c r="N34" s="178"/>
      <c r="O34" s="178"/>
      <c r="P34" s="177"/>
      <c r="Q34" s="177"/>
      <c r="R34" s="179" t="b">
        <v>0</v>
      </c>
      <c r="S34" s="177" t="s">
        <v>638</v>
      </c>
      <c r="T34" s="175"/>
    </row>
    <row r="35" spans="1:20" ht="33.950000000000003" customHeight="1">
      <c r="A35" s="173" t="s">
        <v>746</v>
      </c>
      <c r="B35" s="174">
        <v>2019</v>
      </c>
      <c r="C35" s="174">
        <v>31</v>
      </c>
      <c r="D35" s="175" t="s">
        <v>747</v>
      </c>
      <c r="E35" s="175" t="s">
        <v>748</v>
      </c>
      <c r="F35" s="175" t="s">
        <v>749</v>
      </c>
      <c r="G35" s="175" t="s">
        <v>750</v>
      </c>
      <c r="H35" s="175" t="s">
        <v>637</v>
      </c>
      <c r="I35" s="176">
        <v>167.9</v>
      </c>
      <c r="J35" s="177" t="s">
        <v>1060</v>
      </c>
      <c r="K35" s="177" t="s">
        <v>1061</v>
      </c>
      <c r="L35" s="178">
        <v>7</v>
      </c>
      <c r="M35" s="178" t="s">
        <v>177</v>
      </c>
      <c r="N35" s="178"/>
      <c r="O35" s="178"/>
      <c r="P35" s="177"/>
      <c r="Q35" s="177"/>
      <c r="R35" s="179" t="b">
        <v>1</v>
      </c>
      <c r="S35" s="177" t="s">
        <v>638</v>
      </c>
      <c r="T35" s="175"/>
    </row>
    <row r="36" spans="1:20" ht="33.950000000000003" customHeight="1">
      <c r="A36" s="173" t="s">
        <v>751</v>
      </c>
      <c r="B36" s="174">
        <v>2019</v>
      </c>
      <c r="C36" s="174">
        <v>32</v>
      </c>
      <c r="D36" s="175" t="s">
        <v>752</v>
      </c>
      <c r="E36" s="175" t="s">
        <v>753</v>
      </c>
      <c r="F36" s="175" t="s">
        <v>754</v>
      </c>
      <c r="G36" s="175" t="s">
        <v>755</v>
      </c>
      <c r="H36" s="175" t="s">
        <v>637</v>
      </c>
      <c r="I36" s="176">
        <v>2933.8</v>
      </c>
      <c r="J36" s="177" t="s">
        <v>1060</v>
      </c>
      <c r="K36" s="177" t="s">
        <v>1061</v>
      </c>
      <c r="L36" s="178">
        <v>8</v>
      </c>
      <c r="M36" s="178" t="s">
        <v>177</v>
      </c>
      <c r="N36" s="178"/>
      <c r="O36" s="178"/>
      <c r="P36" s="177"/>
      <c r="Q36" s="177"/>
      <c r="R36" s="179" t="b">
        <v>1</v>
      </c>
      <c r="S36" s="177" t="s">
        <v>638</v>
      </c>
      <c r="T36" s="175"/>
    </row>
    <row r="37" spans="1:20" ht="33.950000000000003" customHeight="1">
      <c r="A37" s="173" t="s">
        <v>756</v>
      </c>
      <c r="B37" s="174">
        <v>2021</v>
      </c>
      <c r="C37" s="174">
        <v>1</v>
      </c>
      <c r="D37" s="175" t="s">
        <v>757</v>
      </c>
      <c r="E37" s="175" t="s">
        <v>758</v>
      </c>
      <c r="F37" s="175" t="s">
        <v>697</v>
      </c>
      <c r="G37" s="175" t="s">
        <v>666</v>
      </c>
      <c r="H37" s="175" t="s">
        <v>637</v>
      </c>
      <c r="I37" s="176">
        <v>1455.7</v>
      </c>
      <c r="J37" s="177"/>
      <c r="K37" s="177"/>
      <c r="L37" s="178"/>
      <c r="M37" s="178"/>
      <c r="N37" s="178"/>
      <c r="O37" s="178"/>
      <c r="P37" s="177"/>
      <c r="Q37" s="177"/>
      <c r="R37" s="179" t="b">
        <v>0</v>
      </c>
      <c r="S37" s="177" t="s">
        <v>638</v>
      </c>
      <c r="T37" s="175"/>
    </row>
    <row r="38" spans="1:20" ht="33.950000000000003" customHeight="1">
      <c r="A38" s="173" t="s">
        <v>759</v>
      </c>
      <c r="B38" s="174">
        <v>2021</v>
      </c>
      <c r="C38" s="174">
        <v>2</v>
      </c>
      <c r="D38" s="175" t="s">
        <v>760</v>
      </c>
      <c r="E38" s="175" t="s">
        <v>761</v>
      </c>
      <c r="F38" s="175" t="s">
        <v>762</v>
      </c>
      <c r="G38" s="175" t="s">
        <v>763</v>
      </c>
      <c r="H38" s="175" t="s">
        <v>637</v>
      </c>
      <c r="I38" s="176">
        <v>1562.7</v>
      </c>
      <c r="J38" s="177"/>
      <c r="K38" s="177"/>
      <c r="L38" s="178"/>
      <c r="M38" s="178"/>
      <c r="N38" s="178"/>
      <c r="O38" s="178"/>
      <c r="P38" s="177"/>
      <c r="Q38" s="177"/>
      <c r="R38" s="179" t="b">
        <v>0</v>
      </c>
      <c r="S38" s="177" t="s">
        <v>638</v>
      </c>
      <c r="T38" s="175"/>
    </row>
    <row r="39" spans="1:20" ht="33.950000000000003" customHeight="1">
      <c r="A39" s="173" t="s">
        <v>764</v>
      </c>
      <c r="B39" s="174">
        <v>2021</v>
      </c>
      <c r="C39" s="174">
        <v>3</v>
      </c>
      <c r="D39" s="175" t="s">
        <v>765</v>
      </c>
      <c r="E39" s="175" t="s">
        <v>766</v>
      </c>
      <c r="F39" s="175" t="s">
        <v>767</v>
      </c>
      <c r="G39" s="175" t="s">
        <v>763</v>
      </c>
      <c r="H39" s="175" t="s">
        <v>637</v>
      </c>
      <c r="I39" s="176">
        <v>1434.3</v>
      </c>
      <c r="J39" s="177" t="s">
        <v>1060</v>
      </c>
      <c r="K39" s="177" t="s">
        <v>1061</v>
      </c>
      <c r="L39" s="178">
        <v>7</v>
      </c>
      <c r="M39" s="178" t="s">
        <v>210</v>
      </c>
      <c r="N39" s="178"/>
      <c r="O39" s="178"/>
      <c r="P39" s="177"/>
      <c r="Q39" s="177"/>
      <c r="R39" s="179" t="b">
        <v>1</v>
      </c>
      <c r="S39" s="177" t="s">
        <v>638</v>
      </c>
      <c r="T39" s="175"/>
    </row>
    <row r="40" spans="1:20" ht="33.950000000000003" customHeight="1">
      <c r="A40" s="173" t="s">
        <v>768</v>
      </c>
      <c r="B40" s="174">
        <v>2021</v>
      </c>
      <c r="C40" s="174">
        <v>4</v>
      </c>
      <c r="D40" s="175" t="s">
        <v>769</v>
      </c>
      <c r="E40" s="175" t="s">
        <v>770</v>
      </c>
      <c r="F40" s="175" t="s">
        <v>659</v>
      </c>
      <c r="G40" s="175" t="s">
        <v>666</v>
      </c>
      <c r="H40" s="175" t="s">
        <v>637</v>
      </c>
      <c r="I40" s="176">
        <v>1393.8</v>
      </c>
      <c r="J40" s="177" t="s">
        <v>1060</v>
      </c>
      <c r="K40" s="177" t="s">
        <v>1061</v>
      </c>
      <c r="L40" s="178">
        <v>8</v>
      </c>
      <c r="M40" s="178" t="s">
        <v>197</v>
      </c>
      <c r="N40" s="178"/>
      <c r="O40" s="178"/>
      <c r="P40" s="177"/>
      <c r="Q40" s="177"/>
      <c r="R40" s="179" t="b">
        <v>1</v>
      </c>
      <c r="S40" s="177" t="s">
        <v>638</v>
      </c>
      <c r="T40" s="175"/>
    </row>
    <row r="41" spans="1:20" ht="33.950000000000003" customHeight="1">
      <c r="A41" s="173" t="s">
        <v>771</v>
      </c>
      <c r="B41" s="174">
        <v>2021</v>
      </c>
      <c r="C41" s="174">
        <v>5</v>
      </c>
      <c r="D41" s="175" t="s">
        <v>772</v>
      </c>
      <c r="E41" s="175" t="s">
        <v>773</v>
      </c>
      <c r="F41" s="175" t="s">
        <v>635</v>
      </c>
      <c r="G41" s="175" t="s">
        <v>666</v>
      </c>
      <c r="H41" s="175" t="s">
        <v>637</v>
      </c>
      <c r="I41" s="176">
        <v>1883.6</v>
      </c>
      <c r="J41" s="177" t="s">
        <v>1060</v>
      </c>
      <c r="K41" s="177" t="s">
        <v>1061</v>
      </c>
      <c r="L41" s="178">
        <v>9</v>
      </c>
      <c r="M41" s="178" t="s">
        <v>203</v>
      </c>
      <c r="N41" s="178"/>
      <c r="O41" s="178"/>
      <c r="P41" s="177"/>
      <c r="Q41" s="177"/>
      <c r="R41" s="179" t="b">
        <v>1</v>
      </c>
      <c r="S41" s="177" t="s">
        <v>638</v>
      </c>
      <c r="T41" s="175"/>
    </row>
    <row r="42" spans="1:20" ht="33.950000000000003" customHeight="1">
      <c r="A42" s="173" t="s">
        <v>774</v>
      </c>
      <c r="B42" s="174">
        <v>2021</v>
      </c>
      <c r="C42" s="174">
        <v>6</v>
      </c>
      <c r="D42" s="175" t="s">
        <v>775</v>
      </c>
      <c r="E42" s="175" t="s">
        <v>776</v>
      </c>
      <c r="F42" s="175" t="s">
        <v>693</v>
      </c>
      <c r="G42" s="175" t="s">
        <v>666</v>
      </c>
      <c r="H42" s="175" t="s">
        <v>637</v>
      </c>
      <c r="I42" s="176">
        <v>2097.1999999999998</v>
      </c>
      <c r="J42" s="177"/>
      <c r="K42" s="177"/>
      <c r="L42" s="178"/>
      <c r="M42" s="178"/>
      <c r="N42" s="178"/>
      <c r="O42" s="178"/>
      <c r="P42" s="177"/>
      <c r="Q42" s="177"/>
      <c r="R42" s="179" t="b">
        <v>0</v>
      </c>
      <c r="S42" s="177" t="s">
        <v>638</v>
      </c>
      <c r="T42" s="175"/>
    </row>
    <row r="43" spans="1:20" ht="33.950000000000003" customHeight="1">
      <c r="A43" s="173" t="s">
        <v>777</v>
      </c>
      <c r="B43" s="174">
        <v>2021</v>
      </c>
      <c r="C43" s="174">
        <v>7</v>
      </c>
      <c r="D43" s="175" t="s">
        <v>778</v>
      </c>
      <c r="E43" s="175" t="s">
        <v>779</v>
      </c>
      <c r="F43" s="175" t="s">
        <v>693</v>
      </c>
      <c r="G43" s="175" t="s">
        <v>666</v>
      </c>
      <c r="H43" s="175" t="s">
        <v>637</v>
      </c>
      <c r="I43" s="176">
        <v>1272.7</v>
      </c>
      <c r="J43" s="177" t="s">
        <v>1060</v>
      </c>
      <c r="K43" s="177" t="s">
        <v>1061</v>
      </c>
      <c r="L43" s="178">
        <v>8</v>
      </c>
      <c r="M43" s="178" t="s">
        <v>614</v>
      </c>
      <c r="N43" s="178"/>
      <c r="O43" s="178"/>
      <c r="P43" s="177"/>
      <c r="Q43" s="177"/>
      <c r="R43" s="179" t="b">
        <v>1</v>
      </c>
      <c r="S43" s="177" t="s">
        <v>638</v>
      </c>
      <c r="T43" s="175"/>
    </row>
    <row r="44" spans="1:20" ht="33.950000000000003" customHeight="1">
      <c r="A44" s="173" t="s">
        <v>780</v>
      </c>
      <c r="B44" s="174">
        <v>2021</v>
      </c>
      <c r="C44" s="174">
        <v>8</v>
      </c>
      <c r="D44" s="175" t="s">
        <v>781</v>
      </c>
      <c r="E44" s="175" t="s">
        <v>782</v>
      </c>
      <c r="F44" s="175" t="s">
        <v>783</v>
      </c>
      <c r="G44" s="175" t="s">
        <v>784</v>
      </c>
      <c r="H44" s="175" t="s">
        <v>637</v>
      </c>
      <c r="I44" s="176">
        <v>778.2</v>
      </c>
      <c r="J44" s="177" t="s">
        <v>1060</v>
      </c>
      <c r="K44" s="177" t="s">
        <v>1061</v>
      </c>
      <c r="L44" s="178">
        <v>8</v>
      </c>
      <c r="M44" s="178" t="s">
        <v>169</v>
      </c>
      <c r="N44" s="178"/>
      <c r="O44" s="178"/>
      <c r="P44" s="177"/>
      <c r="Q44" s="177"/>
      <c r="R44" s="179" t="b">
        <v>1</v>
      </c>
      <c r="S44" s="177" t="s">
        <v>638</v>
      </c>
      <c r="T44" s="175"/>
    </row>
    <row r="45" spans="1:20" ht="33.950000000000003" customHeight="1">
      <c r="A45" s="173" t="s">
        <v>785</v>
      </c>
      <c r="B45" s="174">
        <v>2021</v>
      </c>
      <c r="C45" s="174">
        <v>9</v>
      </c>
      <c r="D45" s="175" t="s">
        <v>786</v>
      </c>
      <c r="E45" s="175" t="s">
        <v>787</v>
      </c>
      <c r="F45" s="175" t="s">
        <v>788</v>
      </c>
      <c r="G45" s="175" t="s">
        <v>789</v>
      </c>
      <c r="H45" s="175" t="s">
        <v>637</v>
      </c>
      <c r="I45" s="176">
        <v>772.4</v>
      </c>
      <c r="J45" s="177" t="s">
        <v>1060</v>
      </c>
      <c r="K45" s="177" t="s">
        <v>1061</v>
      </c>
      <c r="L45" s="178">
        <v>9</v>
      </c>
      <c r="M45" s="178" t="s">
        <v>177</v>
      </c>
      <c r="N45" s="178"/>
      <c r="O45" s="178"/>
      <c r="P45" s="177"/>
      <c r="Q45" s="177"/>
      <c r="R45" s="179" t="b">
        <v>1</v>
      </c>
      <c r="S45" s="177" t="s">
        <v>638</v>
      </c>
      <c r="T45" s="175"/>
    </row>
    <row r="46" spans="1:20" ht="33.950000000000003" customHeight="1">
      <c r="A46" s="173" t="s">
        <v>790</v>
      </c>
      <c r="B46" s="174">
        <v>2021</v>
      </c>
      <c r="C46" s="174">
        <v>10</v>
      </c>
      <c r="D46" s="175" t="s">
        <v>791</v>
      </c>
      <c r="E46" s="175" t="s">
        <v>792</v>
      </c>
      <c r="F46" s="175" t="s">
        <v>793</v>
      </c>
      <c r="G46" s="175" t="s">
        <v>666</v>
      </c>
      <c r="H46" s="175" t="s">
        <v>637</v>
      </c>
      <c r="I46" s="176">
        <v>954.3</v>
      </c>
      <c r="J46" s="177" t="s">
        <v>1060</v>
      </c>
      <c r="K46" s="177" t="s">
        <v>1061</v>
      </c>
      <c r="L46" s="178">
        <v>9</v>
      </c>
      <c r="M46" s="178" t="s">
        <v>197</v>
      </c>
      <c r="N46" s="178"/>
      <c r="O46" s="178"/>
      <c r="P46" s="177"/>
      <c r="Q46" s="177"/>
      <c r="R46" s="179" t="b">
        <v>1</v>
      </c>
      <c r="S46" s="177" t="s">
        <v>638</v>
      </c>
      <c r="T46" s="175"/>
    </row>
    <row r="47" spans="1:20" ht="33.950000000000003" customHeight="1">
      <c r="A47" s="173" t="s">
        <v>794</v>
      </c>
      <c r="B47" s="174">
        <v>2021</v>
      </c>
      <c r="C47" s="174">
        <v>11</v>
      </c>
      <c r="D47" s="175" t="s">
        <v>795</v>
      </c>
      <c r="E47" s="175" t="s">
        <v>796</v>
      </c>
      <c r="F47" s="175" t="s">
        <v>797</v>
      </c>
      <c r="G47" s="175" t="s">
        <v>784</v>
      </c>
      <c r="H47" s="175" t="s">
        <v>637</v>
      </c>
      <c r="I47" s="176">
        <v>1188.8</v>
      </c>
      <c r="J47" s="177" t="s">
        <v>1060</v>
      </c>
      <c r="K47" s="177" t="s">
        <v>1061</v>
      </c>
      <c r="L47" s="178">
        <v>10</v>
      </c>
      <c r="M47" s="178" t="s">
        <v>177</v>
      </c>
      <c r="N47" s="178"/>
      <c r="O47" s="178"/>
      <c r="P47" s="177"/>
      <c r="Q47" s="177"/>
      <c r="R47" s="179" t="b">
        <v>1</v>
      </c>
      <c r="S47" s="177" t="s">
        <v>638</v>
      </c>
      <c r="T47" s="175"/>
    </row>
    <row r="48" spans="1:20" ht="33.950000000000003" customHeight="1">
      <c r="A48" s="173" t="s">
        <v>798</v>
      </c>
      <c r="B48" s="174">
        <v>2021</v>
      </c>
      <c r="C48" s="174">
        <v>12</v>
      </c>
      <c r="D48" s="175" t="s">
        <v>799</v>
      </c>
      <c r="E48" s="175" t="s">
        <v>800</v>
      </c>
      <c r="F48" s="175" t="s">
        <v>693</v>
      </c>
      <c r="G48" s="175" t="s">
        <v>666</v>
      </c>
      <c r="H48" s="175" t="s">
        <v>637</v>
      </c>
      <c r="I48" s="176">
        <v>1461.1</v>
      </c>
      <c r="J48" s="177"/>
      <c r="K48" s="177"/>
      <c r="L48" s="178"/>
      <c r="M48" s="178"/>
      <c r="N48" s="178"/>
      <c r="O48" s="178"/>
      <c r="P48" s="177"/>
      <c r="Q48" s="177"/>
      <c r="R48" s="179" t="b">
        <v>0</v>
      </c>
      <c r="S48" s="177" t="s">
        <v>638</v>
      </c>
      <c r="T48" s="175"/>
    </row>
    <row r="49" spans="1:20" ht="33.950000000000003" customHeight="1">
      <c r="A49" s="173" t="s">
        <v>801</v>
      </c>
      <c r="B49" s="174">
        <v>2021</v>
      </c>
      <c r="C49" s="174">
        <v>13</v>
      </c>
      <c r="D49" s="175" t="s">
        <v>802</v>
      </c>
      <c r="E49" s="175" t="s">
        <v>803</v>
      </c>
      <c r="F49" s="175" t="s">
        <v>683</v>
      </c>
      <c r="G49" s="175" t="s">
        <v>666</v>
      </c>
      <c r="H49" s="175" t="s">
        <v>637</v>
      </c>
      <c r="I49" s="176">
        <v>977.2</v>
      </c>
      <c r="J49" s="177"/>
      <c r="K49" s="177"/>
      <c r="L49" s="178"/>
      <c r="M49" s="178"/>
      <c r="N49" s="178"/>
      <c r="O49" s="178"/>
      <c r="P49" s="177"/>
      <c r="Q49" s="177"/>
      <c r="R49" s="179" t="b">
        <v>0</v>
      </c>
      <c r="S49" s="177" t="s">
        <v>638</v>
      </c>
      <c r="T49" s="175"/>
    </row>
    <row r="50" spans="1:20" ht="33.950000000000003" customHeight="1">
      <c r="A50" s="173" t="s">
        <v>804</v>
      </c>
      <c r="B50" s="174">
        <v>2021</v>
      </c>
      <c r="C50" s="174">
        <v>14</v>
      </c>
      <c r="D50" s="175" t="s">
        <v>805</v>
      </c>
      <c r="E50" s="175" t="s">
        <v>806</v>
      </c>
      <c r="F50" s="175" t="s">
        <v>683</v>
      </c>
      <c r="G50" s="175" t="s">
        <v>666</v>
      </c>
      <c r="H50" s="175" t="s">
        <v>637</v>
      </c>
      <c r="I50" s="176">
        <v>1908.6</v>
      </c>
      <c r="J50" s="177"/>
      <c r="K50" s="177"/>
      <c r="L50" s="178"/>
      <c r="M50" s="178"/>
      <c r="N50" s="178"/>
      <c r="O50" s="178"/>
      <c r="P50" s="177"/>
      <c r="Q50" s="177"/>
      <c r="R50" s="179" t="b">
        <v>0</v>
      </c>
      <c r="S50" s="177" t="s">
        <v>638</v>
      </c>
      <c r="T50" s="175"/>
    </row>
    <row r="51" spans="1:20" ht="33.950000000000003" customHeight="1">
      <c r="A51" s="173" t="s">
        <v>807</v>
      </c>
      <c r="B51" s="174">
        <v>2021</v>
      </c>
      <c r="C51" s="174">
        <v>15</v>
      </c>
      <c r="D51" s="175" t="s">
        <v>808</v>
      </c>
      <c r="E51" s="175" t="s">
        <v>809</v>
      </c>
      <c r="F51" s="175" t="s">
        <v>697</v>
      </c>
      <c r="G51" s="175" t="s">
        <v>666</v>
      </c>
      <c r="H51" s="175" t="s">
        <v>637</v>
      </c>
      <c r="I51" s="176">
        <v>1951.8</v>
      </c>
      <c r="J51" s="177"/>
      <c r="K51" s="177"/>
      <c r="L51" s="178"/>
      <c r="M51" s="178"/>
      <c r="N51" s="178"/>
      <c r="O51" s="178"/>
      <c r="P51" s="177"/>
      <c r="Q51" s="177"/>
      <c r="R51" s="179" t="b">
        <v>0</v>
      </c>
      <c r="S51" s="177" t="s">
        <v>638</v>
      </c>
      <c r="T51" s="175"/>
    </row>
    <row r="52" spans="1:20" ht="33.950000000000003" customHeight="1">
      <c r="A52" s="173" t="s">
        <v>810</v>
      </c>
      <c r="B52" s="174">
        <v>2021</v>
      </c>
      <c r="C52" s="174">
        <v>16</v>
      </c>
      <c r="D52" s="175" t="s">
        <v>811</v>
      </c>
      <c r="E52" s="175" t="s">
        <v>812</v>
      </c>
      <c r="F52" s="175" t="s">
        <v>813</v>
      </c>
      <c r="G52" s="175" t="s">
        <v>666</v>
      </c>
      <c r="H52" s="175" t="s">
        <v>637</v>
      </c>
      <c r="I52" s="176">
        <v>704.9</v>
      </c>
      <c r="J52" s="177" t="s">
        <v>1060</v>
      </c>
      <c r="K52" s="177" t="s">
        <v>1061</v>
      </c>
      <c r="L52" s="178">
        <v>9</v>
      </c>
      <c r="M52" s="178" t="s">
        <v>169</v>
      </c>
      <c r="N52" s="178"/>
      <c r="O52" s="178"/>
      <c r="P52" s="177"/>
      <c r="Q52" s="177"/>
      <c r="R52" s="179" t="b">
        <v>1</v>
      </c>
      <c r="S52" s="177" t="s">
        <v>638</v>
      </c>
      <c r="T52" s="175"/>
    </row>
    <row r="53" spans="1:20" ht="33.950000000000003" customHeight="1">
      <c r="A53" s="173" t="s">
        <v>814</v>
      </c>
      <c r="B53" s="174">
        <v>2021</v>
      </c>
      <c r="C53" s="174">
        <v>17</v>
      </c>
      <c r="D53" s="175" t="s">
        <v>815</v>
      </c>
      <c r="E53" s="175" t="s">
        <v>816</v>
      </c>
      <c r="F53" s="175" t="s">
        <v>813</v>
      </c>
      <c r="G53" s="175" t="s">
        <v>666</v>
      </c>
      <c r="H53" s="175" t="s">
        <v>637</v>
      </c>
      <c r="I53" s="176">
        <v>1194.7</v>
      </c>
      <c r="J53" s="177" t="s">
        <v>1060</v>
      </c>
      <c r="K53" s="177" t="s">
        <v>1061</v>
      </c>
      <c r="L53" s="178">
        <v>9</v>
      </c>
      <c r="M53" s="180" t="s">
        <v>190</v>
      </c>
      <c r="N53" s="180"/>
      <c r="O53" s="178"/>
      <c r="P53" s="177"/>
      <c r="Q53" s="177"/>
      <c r="R53" s="179" t="b">
        <v>1</v>
      </c>
      <c r="S53" s="177" t="s">
        <v>638</v>
      </c>
      <c r="T53" s="175"/>
    </row>
    <row r="54" spans="1:20" ht="33.950000000000003" customHeight="1">
      <c r="A54" s="173" t="s">
        <v>817</v>
      </c>
      <c r="B54" s="174">
        <v>2021</v>
      </c>
      <c r="C54" s="174">
        <v>18</v>
      </c>
      <c r="D54" s="175" t="s">
        <v>818</v>
      </c>
      <c r="E54" s="175" t="s">
        <v>819</v>
      </c>
      <c r="F54" s="175" t="s">
        <v>659</v>
      </c>
      <c r="G54" s="175" t="s">
        <v>666</v>
      </c>
      <c r="H54" s="175" t="s">
        <v>637</v>
      </c>
      <c r="I54" s="176">
        <v>2070.1999999999998</v>
      </c>
      <c r="J54" s="177" t="s">
        <v>1060</v>
      </c>
      <c r="K54" s="177" t="s">
        <v>1061</v>
      </c>
      <c r="L54" s="178">
        <v>10</v>
      </c>
      <c r="M54" s="178" t="s">
        <v>197</v>
      </c>
      <c r="N54" s="178"/>
      <c r="O54" s="178"/>
      <c r="P54" s="177"/>
      <c r="Q54" s="177"/>
      <c r="R54" s="179" t="b">
        <v>1</v>
      </c>
      <c r="S54" s="177" t="s">
        <v>638</v>
      </c>
      <c r="T54" s="175"/>
    </row>
    <row r="55" spans="1:20" ht="33.950000000000003" customHeight="1">
      <c r="A55" s="173" t="s">
        <v>820</v>
      </c>
      <c r="B55" s="174">
        <v>2021</v>
      </c>
      <c r="C55" s="174">
        <v>19</v>
      </c>
      <c r="D55" s="175" t="s">
        <v>821</v>
      </c>
      <c r="E55" s="175" t="s">
        <v>822</v>
      </c>
      <c r="F55" s="175" t="s">
        <v>697</v>
      </c>
      <c r="G55" s="175" t="s">
        <v>666</v>
      </c>
      <c r="H55" s="175" t="s">
        <v>637</v>
      </c>
      <c r="I55" s="176">
        <v>1358.5</v>
      </c>
      <c r="J55" s="177"/>
      <c r="K55" s="177"/>
      <c r="L55" s="178"/>
      <c r="M55" s="178"/>
      <c r="N55" s="178"/>
      <c r="O55" s="178"/>
      <c r="P55" s="177"/>
      <c r="Q55" s="177"/>
      <c r="R55" s="179" t="b">
        <v>0</v>
      </c>
      <c r="S55" s="177" t="s">
        <v>638</v>
      </c>
      <c r="T55" s="175"/>
    </row>
    <row r="56" spans="1:20" ht="33.950000000000003" customHeight="1">
      <c r="A56" s="173" t="s">
        <v>823</v>
      </c>
      <c r="B56" s="174">
        <v>2021</v>
      </c>
      <c r="C56" s="174">
        <v>20</v>
      </c>
      <c r="D56" s="175" t="s">
        <v>824</v>
      </c>
      <c r="E56" s="175" t="s">
        <v>825</v>
      </c>
      <c r="F56" s="175" t="s">
        <v>635</v>
      </c>
      <c r="G56" s="175" t="s">
        <v>666</v>
      </c>
      <c r="H56" s="175" t="s">
        <v>637</v>
      </c>
      <c r="I56" s="176">
        <v>1932.5</v>
      </c>
      <c r="J56" s="177"/>
      <c r="K56" s="177"/>
      <c r="L56" s="178"/>
      <c r="M56" s="178"/>
      <c r="N56" s="178"/>
      <c r="O56" s="178"/>
      <c r="P56" s="177"/>
      <c r="Q56" s="177"/>
      <c r="R56" s="179" t="b">
        <v>0</v>
      </c>
      <c r="S56" s="177" t="s">
        <v>638</v>
      </c>
      <c r="T56" s="175"/>
    </row>
    <row r="57" spans="1:20" ht="33.950000000000003" customHeight="1">
      <c r="A57" s="173" t="s">
        <v>826</v>
      </c>
      <c r="B57" s="174">
        <v>2021</v>
      </c>
      <c r="C57" s="174">
        <v>21</v>
      </c>
      <c r="D57" s="175" t="s">
        <v>827</v>
      </c>
      <c r="E57" s="175" t="s">
        <v>828</v>
      </c>
      <c r="F57" s="175" t="s">
        <v>693</v>
      </c>
      <c r="G57" s="175" t="s">
        <v>666</v>
      </c>
      <c r="H57" s="175" t="s">
        <v>637</v>
      </c>
      <c r="I57" s="176">
        <v>1525.7</v>
      </c>
      <c r="J57" s="177"/>
      <c r="K57" s="177"/>
      <c r="L57" s="178"/>
      <c r="M57" s="178"/>
      <c r="N57" s="178"/>
      <c r="O57" s="178"/>
      <c r="P57" s="177"/>
      <c r="Q57" s="177"/>
      <c r="R57" s="179" t="b">
        <v>0</v>
      </c>
      <c r="S57" s="177" t="s">
        <v>638</v>
      </c>
      <c r="T57" s="175"/>
    </row>
    <row r="58" spans="1:20" ht="33.950000000000003" customHeight="1">
      <c r="A58" s="173" t="s">
        <v>829</v>
      </c>
      <c r="B58" s="174">
        <v>2021</v>
      </c>
      <c r="C58" s="174">
        <v>22</v>
      </c>
      <c r="D58" s="175" t="s">
        <v>830</v>
      </c>
      <c r="E58" s="175" t="s">
        <v>831</v>
      </c>
      <c r="F58" s="175" t="s">
        <v>832</v>
      </c>
      <c r="G58" s="175" t="s">
        <v>666</v>
      </c>
      <c r="H58" s="175" t="s">
        <v>637</v>
      </c>
      <c r="I58" s="176">
        <v>931.5</v>
      </c>
      <c r="J58" s="177" t="s">
        <v>1060</v>
      </c>
      <c r="K58" s="177" t="s">
        <v>1061</v>
      </c>
      <c r="L58" s="178">
        <v>7</v>
      </c>
      <c r="M58" s="178" t="s">
        <v>614</v>
      </c>
      <c r="N58" s="178"/>
      <c r="O58" s="178"/>
      <c r="P58" s="177"/>
      <c r="Q58" s="177"/>
      <c r="R58" s="179" t="b">
        <v>1</v>
      </c>
      <c r="S58" s="177" t="s">
        <v>638</v>
      </c>
      <c r="T58" s="175"/>
    </row>
    <row r="59" spans="1:20" ht="33.950000000000003" customHeight="1">
      <c r="A59" s="173" t="s">
        <v>833</v>
      </c>
      <c r="B59" s="174">
        <v>2021</v>
      </c>
      <c r="C59" s="174">
        <v>23</v>
      </c>
      <c r="D59" s="175" t="s">
        <v>834</v>
      </c>
      <c r="E59" s="175" t="s">
        <v>835</v>
      </c>
      <c r="F59" s="175" t="s">
        <v>836</v>
      </c>
      <c r="G59" s="175" t="s">
        <v>837</v>
      </c>
      <c r="H59" s="175" t="s">
        <v>637</v>
      </c>
      <c r="I59" s="176">
        <v>1331.2</v>
      </c>
      <c r="J59" s="177" t="s">
        <v>1060</v>
      </c>
      <c r="K59" s="177" t="s">
        <v>1061</v>
      </c>
      <c r="L59" s="178">
        <v>11</v>
      </c>
      <c r="M59" s="178" t="s">
        <v>177</v>
      </c>
      <c r="N59" s="178"/>
      <c r="O59" s="178"/>
      <c r="P59" s="177"/>
      <c r="Q59" s="177"/>
      <c r="R59" s="179" t="b">
        <v>1</v>
      </c>
      <c r="S59" s="177" t="s">
        <v>638</v>
      </c>
      <c r="T59" s="175"/>
    </row>
    <row r="60" spans="1:20" ht="33.950000000000003" customHeight="1">
      <c r="A60" s="173" t="s">
        <v>838</v>
      </c>
      <c r="B60" s="174">
        <v>2021</v>
      </c>
      <c r="C60" s="174">
        <v>24</v>
      </c>
      <c r="D60" s="175" t="s">
        <v>839</v>
      </c>
      <c r="E60" s="175" t="s">
        <v>840</v>
      </c>
      <c r="F60" s="175" t="s">
        <v>767</v>
      </c>
      <c r="G60" s="175" t="s">
        <v>660</v>
      </c>
      <c r="H60" s="175" t="s">
        <v>740</v>
      </c>
      <c r="I60" s="176">
        <v>2595.5</v>
      </c>
      <c r="J60" s="177" t="s">
        <v>1060</v>
      </c>
      <c r="K60" s="177" t="s">
        <v>1061</v>
      </c>
      <c r="L60" s="178">
        <v>8</v>
      </c>
      <c r="M60" s="178" t="s">
        <v>203</v>
      </c>
      <c r="N60" s="178"/>
      <c r="O60" s="178"/>
      <c r="P60" s="177"/>
      <c r="Q60" s="177"/>
      <c r="R60" t="b">
        <v>1</v>
      </c>
      <c r="S60" s="177" t="s">
        <v>638</v>
      </c>
      <c r="T60" s="175"/>
    </row>
    <row r="61" spans="1:20" ht="33.950000000000003" customHeight="1">
      <c r="A61" s="173" t="s">
        <v>841</v>
      </c>
      <c r="B61" s="174">
        <v>2021</v>
      </c>
      <c r="C61" s="174">
        <v>25</v>
      </c>
      <c r="D61" s="175" t="s">
        <v>842</v>
      </c>
      <c r="E61" s="175" t="s">
        <v>843</v>
      </c>
      <c r="F61" s="175" t="s">
        <v>844</v>
      </c>
      <c r="G61" s="175" t="s">
        <v>763</v>
      </c>
      <c r="H61" s="175" t="s">
        <v>740</v>
      </c>
      <c r="I61" s="176">
        <v>2820.7</v>
      </c>
      <c r="J61" s="177" t="s">
        <v>1060</v>
      </c>
      <c r="K61" s="177" t="s">
        <v>1061</v>
      </c>
      <c r="L61" s="178">
        <v>6</v>
      </c>
      <c r="M61" s="180" t="s">
        <v>190</v>
      </c>
      <c r="N61" s="180"/>
      <c r="O61" s="178"/>
      <c r="P61" s="177"/>
      <c r="Q61" s="177"/>
      <c r="R61" t="b">
        <v>1</v>
      </c>
      <c r="S61" s="177" t="s">
        <v>638</v>
      </c>
      <c r="T61" s="175"/>
    </row>
    <row r="62" spans="1:20" ht="33.950000000000003" customHeight="1">
      <c r="A62" s="173" t="s">
        <v>845</v>
      </c>
      <c r="B62" s="174">
        <v>2021</v>
      </c>
      <c r="C62" s="174">
        <v>26</v>
      </c>
      <c r="D62" s="175" t="s">
        <v>846</v>
      </c>
      <c r="E62" s="175" t="s">
        <v>847</v>
      </c>
      <c r="F62" s="175" t="s">
        <v>848</v>
      </c>
      <c r="G62" s="175" t="s">
        <v>660</v>
      </c>
      <c r="H62" s="175" t="s">
        <v>637</v>
      </c>
      <c r="I62" s="176">
        <v>3575.6</v>
      </c>
      <c r="J62" s="177" t="s">
        <v>1060</v>
      </c>
      <c r="K62" s="177" t="s">
        <v>1061</v>
      </c>
      <c r="L62" s="178">
        <v>6</v>
      </c>
      <c r="M62" s="178" t="s">
        <v>197</v>
      </c>
      <c r="N62" s="178"/>
      <c r="O62" s="178"/>
      <c r="P62" s="177"/>
      <c r="Q62" s="177"/>
      <c r="R62" s="179" t="b">
        <v>1</v>
      </c>
      <c r="S62" s="177" t="s">
        <v>638</v>
      </c>
      <c r="T62" s="175"/>
    </row>
    <row r="63" spans="1:20" ht="33.950000000000003" customHeight="1">
      <c r="A63" s="173" t="s">
        <v>849</v>
      </c>
      <c r="B63" s="174">
        <v>2021</v>
      </c>
      <c r="C63" s="174">
        <v>27</v>
      </c>
      <c r="D63" s="175" t="s">
        <v>850</v>
      </c>
      <c r="E63" s="175" t="s">
        <v>851</v>
      </c>
      <c r="F63" s="175" t="s">
        <v>635</v>
      </c>
      <c r="G63" s="175" t="s">
        <v>666</v>
      </c>
      <c r="H63" s="175" t="s">
        <v>637</v>
      </c>
      <c r="I63" s="176">
        <v>3010</v>
      </c>
      <c r="J63" s="177" t="s">
        <v>1060</v>
      </c>
      <c r="K63" s="177" t="s">
        <v>1061</v>
      </c>
      <c r="L63" s="178">
        <v>1</v>
      </c>
      <c r="M63" s="178" t="s">
        <v>203</v>
      </c>
      <c r="N63" s="178"/>
      <c r="O63" s="178"/>
      <c r="P63" s="177"/>
      <c r="Q63" s="177"/>
      <c r="R63" s="179" t="b">
        <v>1</v>
      </c>
      <c r="S63" s="177" t="s">
        <v>638</v>
      </c>
      <c r="T63" s="175"/>
    </row>
    <row r="64" spans="1:20" ht="33.950000000000003" customHeight="1">
      <c r="A64" s="173" t="s">
        <v>852</v>
      </c>
      <c r="B64" s="174">
        <v>2021</v>
      </c>
      <c r="C64" s="174">
        <v>28</v>
      </c>
      <c r="D64" s="175" t="s">
        <v>853</v>
      </c>
      <c r="E64" s="175" t="s">
        <v>854</v>
      </c>
      <c r="F64" s="175" t="s">
        <v>664</v>
      </c>
      <c r="G64" s="175" t="s">
        <v>666</v>
      </c>
      <c r="H64" s="175" t="s">
        <v>637</v>
      </c>
      <c r="I64" s="176">
        <v>5372.5</v>
      </c>
      <c r="J64" s="177" t="s">
        <v>1060</v>
      </c>
      <c r="K64" s="177" t="s">
        <v>1061</v>
      </c>
      <c r="L64" s="178">
        <v>5</v>
      </c>
      <c r="M64" s="180" t="s">
        <v>190</v>
      </c>
      <c r="N64" s="180"/>
      <c r="O64" s="178"/>
      <c r="P64" s="177"/>
      <c r="Q64" s="177"/>
      <c r="R64" s="179" t="b">
        <v>1</v>
      </c>
      <c r="S64" s="177" t="s">
        <v>638</v>
      </c>
      <c r="T64" s="175"/>
    </row>
    <row r="65" spans="1:20" ht="33.950000000000003" customHeight="1">
      <c r="A65" s="173" t="s">
        <v>855</v>
      </c>
      <c r="B65" s="174">
        <v>2021</v>
      </c>
      <c r="C65" s="174">
        <v>29</v>
      </c>
      <c r="D65" s="175" t="s">
        <v>856</v>
      </c>
      <c r="E65" s="175" t="s">
        <v>857</v>
      </c>
      <c r="F65" s="175" t="s">
        <v>710</v>
      </c>
      <c r="G65" s="175" t="s">
        <v>666</v>
      </c>
      <c r="H65" s="175" t="s">
        <v>637</v>
      </c>
      <c r="I65" s="176">
        <v>5030.3999999999996</v>
      </c>
      <c r="J65" s="177"/>
      <c r="K65" s="177"/>
      <c r="L65" s="178"/>
      <c r="M65" s="178"/>
      <c r="N65" s="178"/>
      <c r="O65" s="178"/>
      <c r="P65" s="177"/>
      <c r="Q65" s="177"/>
      <c r="R65" s="179" t="b">
        <v>0</v>
      </c>
      <c r="S65" s="177" t="s">
        <v>638</v>
      </c>
      <c r="T65" s="175"/>
    </row>
    <row r="66" spans="1:20" ht="33.950000000000003" customHeight="1">
      <c r="A66" s="173" t="s">
        <v>858</v>
      </c>
      <c r="B66" s="174">
        <v>2021</v>
      </c>
      <c r="C66" s="174">
        <v>30</v>
      </c>
      <c r="D66" s="175" t="s">
        <v>859</v>
      </c>
      <c r="E66" s="175" t="s">
        <v>860</v>
      </c>
      <c r="F66" s="175" t="s">
        <v>749</v>
      </c>
      <c r="G66" s="175" t="s">
        <v>666</v>
      </c>
      <c r="H66" s="175" t="s">
        <v>637</v>
      </c>
      <c r="I66" s="176">
        <v>6384.5</v>
      </c>
      <c r="J66" s="177" t="s">
        <v>1060</v>
      </c>
      <c r="K66" s="177" t="s">
        <v>1061</v>
      </c>
      <c r="L66" s="178">
        <v>1</v>
      </c>
      <c r="M66" s="178" t="s">
        <v>177</v>
      </c>
      <c r="N66" s="178"/>
      <c r="O66" s="178"/>
      <c r="P66" s="177"/>
      <c r="Q66" s="177"/>
      <c r="R66" s="179" t="b">
        <v>1</v>
      </c>
      <c r="S66" s="177" t="s">
        <v>638</v>
      </c>
      <c r="T66" s="175"/>
    </row>
    <row r="67" spans="1:20" ht="33.950000000000003" customHeight="1">
      <c r="A67" s="173" t="s">
        <v>861</v>
      </c>
      <c r="B67" s="174">
        <v>2021</v>
      </c>
      <c r="C67" s="174">
        <v>31</v>
      </c>
      <c r="D67" s="175" t="s">
        <v>862</v>
      </c>
      <c r="E67" s="175" t="s">
        <v>863</v>
      </c>
      <c r="F67" s="175" t="s">
        <v>864</v>
      </c>
      <c r="G67" s="175" t="s">
        <v>865</v>
      </c>
      <c r="H67" s="175" t="s">
        <v>637</v>
      </c>
      <c r="I67" s="176">
        <v>4084.1</v>
      </c>
      <c r="J67" s="177" t="s">
        <v>1060</v>
      </c>
      <c r="K67" s="177" t="s">
        <v>1061</v>
      </c>
      <c r="L67" s="178">
        <v>3</v>
      </c>
      <c r="M67" s="178" t="s">
        <v>184</v>
      </c>
      <c r="N67" s="178"/>
      <c r="O67" s="178"/>
      <c r="P67" s="177"/>
      <c r="Q67" s="177"/>
      <c r="R67" s="179" t="b">
        <v>1</v>
      </c>
      <c r="S67" s="177" t="s">
        <v>638</v>
      </c>
      <c r="T67" s="175"/>
    </row>
    <row r="68" spans="1:20" ht="33.950000000000003" customHeight="1">
      <c r="A68" s="173" t="s">
        <v>866</v>
      </c>
      <c r="B68" s="174">
        <v>2021</v>
      </c>
      <c r="C68" s="174">
        <v>32</v>
      </c>
      <c r="D68" s="175" t="s">
        <v>867</v>
      </c>
      <c r="E68" s="175" t="s">
        <v>868</v>
      </c>
      <c r="F68" s="175" t="s">
        <v>693</v>
      </c>
      <c r="G68" s="175" t="s">
        <v>869</v>
      </c>
      <c r="H68" s="175" t="s">
        <v>736</v>
      </c>
      <c r="I68" s="176">
        <v>10124.700000000001</v>
      </c>
      <c r="J68" s="177" t="s">
        <v>1060</v>
      </c>
      <c r="K68" s="177" t="s">
        <v>1061</v>
      </c>
      <c r="L68" s="178">
        <v>6</v>
      </c>
      <c r="M68" s="178" t="s">
        <v>614</v>
      </c>
      <c r="N68" s="178"/>
      <c r="O68" s="178"/>
      <c r="P68" s="177"/>
      <c r="Q68" s="177"/>
      <c r="R68" s="179" t="b">
        <v>1</v>
      </c>
      <c r="S68" s="177" t="s">
        <v>638</v>
      </c>
      <c r="T68" s="175"/>
    </row>
    <row r="69" spans="1:20" ht="33.950000000000003" customHeight="1">
      <c r="A69" s="173" t="s">
        <v>870</v>
      </c>
      <c r="B69" s="174">
        <v>2021</v>
      </c>
      <c r="C69" s="174">
        <v>33</v>
      </c>
      <c r="D69" s="175" t="s">
        <v>871</v>
      </c>
      <c r="E69" s="175" t="s">
        <v>872</v>
      </c>
      <c r="F69" s="175" t="s">
        <v>873</v>
      </c>
      <c r="G69" s="175" t="s">
        <v>750</v>
      </c>
      <c r="H69" s="175" t="s">
        <v>736</v>
      </c>
      <c r="I69" s="176">
        <v>9986.2000000000007</v>
      </c>
      <c r="J69" s="177" t="s">
        <v>1060</v>
      </c>
      <c r="K69" s="177" t="s">
        <v>1061</v>
      </c>
      <c r="L69" s="178">
        <v>5</v>
      </c>
      <c r="M69" s="178" t="s">
        <v>614</v>
      </c>
      <c r="N69" s="178"/>
      <c r="O69" s="178"/>
      <c r="P69" s="177"/>
      <c r="Q69" s="177"/>
      <c r="R69" s="179" t="b">
        <v>1</v>
      </c>
      <c r="S69" s="177" t="s">
        <v>638</v>
      </c>
      <c r="T69" s="175"/>
    </row>
    <row r="70" spans="1:20" ht="33.950000000000003" customHeight="1">
      <c r="A70" s="173" t="s">
        <v>874</v>
      </c>
      <c r="B70" s="174">
        <v>2021</v>
      </c>
      <c r="C70" s="174">
        <v>34</v>
      </c>
      <c r="D70" s="175" t="s">
        <v>875</v>
      </c>
      <c r="E70" s="175" t="s">
        <v>876</v>
      </c>
      <c r="F70" s="175" t="s">
        <v>723</v>
      </c>
      <c r="G70" s="175" t="s">
        <v>666</v>
      </c>
      <c r="H70" s="175" t="s">
        <v>736</v>
      </c>
      <c r="I70" s="176">
        <v>12063.9</v>
      </c>
      <c r="J70" s="177"/>
      <c r="K70" s="177"/>
      <c r="L70" s="178"/>
      <c r="M70" s="178"/>
      <c r="N70" s="178"/>
      <c r="O70" s="178"/>
      <c r="P70" s="177"/>
      <c r="Q70" s="177"/>
      <c r="R70" s="179" t="b">
        <v>0</v>
      </c>
      <c r="S70" s="177" t="s">
        <v>638</v>
      </c>
      <c r="T70" s="175"/>
    </row>
    <row r="71" spans="1:20" ht="33.950000000000003" customHeight="1">
      <c r="A71" s="173" t="s">
        <v>877</v>
      </c>
      <c r="B71" s="174">
        <v>2021</v>
      </c>
      <c r="C71" s="174">
        <v>35</v>
      </c>
      <c r="D71" s="175" t="s">
        <v>878</v>
      </c>
      <c r="E71" s="175" t="s">
        <v>879</v>
      </c>
      <c r="F71" s="175" t="s">
        <v>683</v>
      </c>
      <c r="G71" s="175" t="s">
        <v>666</v>
      </c>
      <c r="H71" s="175" t="s">
        <v>736</v>
      </c>
      <c r="I71" s="176">
        <v>6486.8</v>
      </c>
      <c r="J71" s="177" t="s">
        <v>1060</v>
      </c>
      <c r="K71" s="177" t="s">
        <v>1061</v>
      </c>
      <c r="L71" s="178">
        <v>4</v>
      </c>
      <c r="M71" s="178" t="s">
        <v>210</v>
      </c>
      <c r="N71" s="178"/>
      <c r="O71" s="178"/>
      <c r="P71" s="177"/>
      <c r="Q71" s="177"/>
      <c r="R71" s="179" t="b">
        <v>1</v>
      </c>
      <c r="S71" s="177" t="s">
        <v>638</v>
      </c>
      <c r="T71" s="175"/>
    </row>
    <row r="72" spans="1:20" ht="33.950000000000003" customHeight="1">
      <c r="A72" s="173" t="s">
        <v>880</v>
      </c>
      <c r="B72" s="174">
        <v>2021</v>
      </c>
      <c r="C72" s="174">
        <v>36</v>
      </c>
      <c r="D72" s="175" t="s">
        <v>881</v>
      </c>
      <c r="E72" s="175" t="s">
        <v>882</v>
      </c>
      <c r="F72" s="175" t="s">
        <v>683</v>
      </c>
      <c r="G72" s="175" t="s">
        <v>883</v>
      </c>
      <c r="H72" s="175" t="s">
        <v>637</v>
      </c>
      <c r="I72" s="176">
        <v>533.70000000000005</v>
      </c>
      <c r="J72" s="177" t="s">
        <v>1060</v>
      </c>
      <c r="K72" s="177" t="s">
        <v>1061</v>
      </c>
      <c r="L72" s="178">
        <v>3</v>
      </c>
      <c r="M72" s="178" t="s">
        <v>210</v>
      </c>
      <c r="N72" s="178"/>
      <c r="O72" s="178"/>
      <c r="P72" s="177"/>
      <c r="Q72" s="177"/>
      <c r="R72" s="179" t="b">
        <v>1</v>
      </c>
      <c r="S72" s="177" t="s">
        <v>638</v>
      </c>
      <c r="T72" s="175"/>
    </row>
    <row r="73" spans="1:20" ht="33.950000000000003" customHeight="1">
      <c r="A73" s="173" t="s">
        <v>884</v>
      </c>
      <c r="B73" s="174">
        <v>2022</v>
      </c>
      <c r="C73" s="174">
        <v>1</v>
      </c>
      <c r="D73" s="175" t="s">
        <v>885</v>
      </c>
      <c r="E73" s="175" t="s">
        <v>886</v>
      </c>
      <c r="F73" s="175" t="s">
        <v>887</v>
      </c>
      <c r="G73" s="175" t="s">
        <v>888</v>
      </c>
      <c r="H73" s="175" t="s">
        <v>637</v>
      </c>
      <c r="I73" s="176">
        <v>798.1</v>
      </c>
      <c r="J73" s="177" t="s">
        <v>1060</v>
      </c>
      <c r="K73" s="177" t="s">
        <v>1061</v>
      </c>
      <c r="L73" s="178">
        <v>4</v>
      </c>
      <c r="M73" s="178" t="s">
        <v>177</v>
      </c>
      <c r="N73" s="178"/>
      <c r="O73" s="178"/>
      <c r="P73" s="177"/>
      <c r="Q73" s="177"/>
      <c r="R73" s="179" t="b">
        <v>1</v>
      </c>
      <c r="S73" s="177" t="s">
        <v>638</v>
      </c>
      <c r="T73" s="175"/>
    </row>
    <row r="74" spans="1:20" ht="33.950000000000003" customHeight="1">
      <c r="A74" s="173" t="s">
        <v>889</v>
      </c>
      <c r="B74" s="174">
        <v>2022</v>
      </c>
      <c r="C74" s="174">
        <v>2</v>
      </c>
      <c r="D74" s="175" t="s">
        <v>890</v>
      </c>
      <c r="E74" s="175" t="s">
        <v>891</v>
      </c>
      <c r="F74" s="175" t="s">
        <v>892</v>
      </c>
      <c r="G74" s="175" t="s">
        <v>893</v>
      </c>
      <c r="H74" s="175" t="s">
        <v>637</v>
      </c>
      <c r="I74" s="176">
        <v>852.8</v>
      </c>
      <c r="J74" s="177" t="s">
        <v>1060</v>
      </c>
      <c r="K74" s="177" t="s">
        <v>1061</v>
      </c>
      <c r="L74" s="178">
        <v>2</v>
      </c>
      <c r="M74" s="178" t="s">
        <v>184</v>
      </c>
      <c r="N74" s="178"/>
      <c r="O74" s="178"/>
      <c r="P74" s="177"/>
      <c r="Q74" s="177"/>
      <c r="R74" s="179" t="b">
        <v>1</v>
      </c>
      <c r="S74" s="177" t="s">
        <v>638</v>
      </c>
      <c r="T74" s="175"/>
    </row>
    <row r="75" spans="1:20" ht="33.950000000000003" customHeight="1">
      <c r="A75" s="173" t="s">
        <v>894</v>
      </c>
      <c r="B75" s="174">
        <v>2022</v>
      </c>
      <c r="C75" s="174">
        <v>3</v>
      </c>
      <c r="D75" s="175" t="s">
        <v>895</v>
      </c>
      <c r="E75" s="175" t="s">
        <v>896</v>
      </c>
      <c r="F75" s="175" t="s">
        <v>897</v>
      </c>
      <c r="G75" s="175"/>
      <c r="H75" s="175" t="s">
        <v>637</v>
      </c>
      <c r="I75" s="176">
        <v>1160</v>
      </c>
      <c r="J75" s="177" t="s">
        <v>1060</v>
      </c>
      <c r="K75" s="177" t="s">
        <v>1061</v>
      </c>
      <c r="L75" s="178">
        <v>7</v>
      </c>
      <c r="M75" s="178" t="s">
        <v>197</v>
      </c>
      <c r="N75" s="178"/>
      <c r="O75" s="178"/>
      <c r="P75" s="177"/>
      <c r="Q75" s="177"/>
      <c r="R75" s="179" t="b">
        <v>1</v>
      </c>
      <c r="S75" s="177" t="s">
        <v>638</v>
      </c>
      <c r="T75" s="175"/>
    </row>
    <row r="76" spans="1:20" ht="33.950000000000003" customHeight="1">
      <c r="A76" s="173" t="s">
        <v>898</v>
      </c>
      <c r="B76" s="174">
        <v>2022</v>
      </c>
      <c r="C76" s="174">
        <v>4</v>
      </c>
      <c r="D76" s="175" t="s">
        <v>899</v>
      </c>
      <c r="E76" s="175" t="s">
        <v>900</v>
      </c>
      <c r="F76" s="175" t="s">
        <v>901</v>
      </c>
      <c r="G76" s="175"/>
      <c r="H76" s="175" t="s">
        <v>637</v>
      </c>
      <c r="I76" s="176">
        <v>1293.9000000000001</v>
      </c>
      <c r="J76" s="177" t="s">
        <v>1060</v>
      </c>
      <c r="K76" s="177" t="s">
        <v>1061</v>
      </c>
      <c r="L76" s="178">
        <v>1</v>
      </c>
      <c r="M76" s="178" t="s">
        <v>184</v>
      </c>
      <c r="N76" s="178"/>
      <c r="O76" s="178"/>
      <c r="P76" s="177"/>
      <c r="Q76" s="177"/>
      <c r="R76" s="179" t="b">
        <v>1</v>
      </c>
      <c r="S76" s="177" t="s">
        <v>638</v>
      </c>
      <c r="T76" s="175"/>
    </row>
    <row r="77" spans="1:20" ht="33.950000000000003" customHeight="1">
      <c r="A77" s="173" t="s">
        <v>902</v>
      </c>
      <c r="B77" s="174">
        <v>2022</v>
      </c>
      <c r="C77" s="174">
        <v>5</v>
      </c>
      <c r="D77" s="175" t="s">
        <v>903</v>
      </c>
      <c r="E77" s="175" t="s">
        <v>904</v>
      </c>
      <c r="F77" s="175" t="s">
        <v>905</v>
      </c>
      <c r="G77" s="175" t="s">
        <v>906</v>
      </c>
      <c r="H77" s="175" t="s">
        <v>637</v>
      </c>
      <c r="I77" s="176">
        <v>1045</v>
      </c>
      <c r="J77" s="177" t="s">
        <v>1060</v>
      </c>
      <c r="K77" s="177" t="s">
        <v>1061</v>
      </c>
      <c r="L77" s="178">
        <v>4</v>
      </c>
      <c r="M77" s="178" t="s">
        <v>197</v>
      </c>
      <c r="N77" s="178"/>
      <c r="O77" s="178"/>
      <c r="P77" s="177"/>
      <c r="Q77" s="177"/>
      <c r="R77" s="179" t="b">
        <v>1</v>
      </c>
      <c r="S77" s="177" t="s">
        <v>638</v>
      </c>
      <c r="T77" s="175"/>
    </row>
    <row r="78" spans="1:20" ht="33.950000000000003" customHeight="1">
      <c r="A78" s="173" t="s">
        <v>907</v>
      </c>
      <c r="B78" s="174">
        <v>2022</v>
      </c>
      <c r="C78" s="174">
        <v>6</v>
      </c>
      <c r="D78" s="175" t="s">
        <v>908</v>
      </c>
      <c r="E78" s="175" t="s">
        <v>909</v>
      </c>
      <c r="F78" s="175" t="s">
        <v>910</v>
      </c>
      <c r="G78" s="175" t="s">
        <v>893</v>
      </c>
      <c r="H78" s="175" t="s">
        <v>637</v>
      </c>
      <c r="I78" s="176">
        <v>917.8</v>
      </c>
      <c r="J78" s="177"/>
      <c r="K78" s="177"/>
      <c r="L78" s="178"/>
      <c r="M78" s="178"/>
      <c r="N78" s="178"/>
      <c r="O78" s="178"/>
      <c r="P78" s="177"/>
      <c r="Q78" s="177"/>
      <c r="R78" s="179" t="b">
        <v>0</v>
      </c>
      <c r="S78" s="177" t="s">
        <v>638</v>
      </c>
      <c r="T78" s="175"/>
    </row>
    <row r="79" spans="1:20" ht="33.950000000000003" customHeight="1">
      <c r="A79" s="173" t="s">
        <v>911</v>
      </c>
      <c r="B79" s="174">
        <v>2022</v>
      </c>
      <c r="C79" s="174">
        <v>7</v>
      </c>
      <c r="D79" s="175" t="s">
        <v>1050</v>
      </c>
      <c r="E79" s="175" t="s">
        <v>1051</v>
      </c>
      <c r="F79" s="175" t="s">
        <v>1049</v>
      </c>
      <c r="G79" s="175" t="s">
        <v>912</v>
      </c>
      <c r="H79" s="175" t="s">
        <v>637</v>
      </c>
      <c r="I79" s="176">
        <v>454.3</v>
      </c>
      <c r="J79" s="177" t="s">
        <v>1060</v>
      </c>
      <c r="K79" s="177" t="s">
        <v>1061</v>
      </c>
      <c r="L79" s="178">
        <v>4</v>
      </c>
      <c r="M79" s="180" t="s">
        <v>190</v>
      </c>
      <c r="N79" s="180"/>
      <c r="O79" s="178"/>
      <c r="P79" s="177"/>
      <c r="Q79" s="177"/>
      <c r="R79" s="179" t="b">
        <v>1</v>
      </c>
      <c r="S79" s="177" t="s">
        <v>638</v>
      </c>
      <c r="T79" s="175" t="s">
        <v>1052</v>
      </c>
    </row>
    <row r="80" spans="1:20" ht="33.950000000000003" customHeight="1">
      <c r="A80" s="173" t="s">
        <v>913</v>
      </c>
      <c r="B80" s="174">
        <v>2022</v>
      </c>
      <c r="C80" s="174">
        <v>8</v>
      </c>
      <c r="D80" s="175" t="s">
        <v>914</v>
      </c>
      <c r="E80" s="175" t="s">
        <v>915</v>
      </c>
      <c r="F80" s="175" t="s">
        <v>693</v>
      </c>
      <c r="G80" s="175" t="s">
        <v>916</v>
      </c>
      <c r="H80" s="175" t="s">
        <v>637</v>
      </c>
      <c r="I80" s="176">
        <v>1213.7</v>
      </c>
      <c r="J80" s="177" t="s">
        <v>1060</v>
      </c>
      <c r="K80" s="177" t="s">
        <v>1061</v>
      </c>
      <c r="L80" s="178">
        <v>1</v>
      </c>
      <c r="M80" s="178" t="s">
        <v>614</v>
      </c>
      <c r="N80" s="178"/>
      <c r="O80" s="178"/>
      <c r="P80" s="177"/>
      <c r="Q80" s="177"/>
      <c r="R80" s="179" t="b">
        <v>1</v>
      </c>
      <c r="S80" s="177" t="s">
        <v>638</v>
      </c>
      <c r="T80" s="175"/>
    </row>
    <row r="81" spans="1:20" ht="33.950000000000003" customHeight="1">
      <c r="A81" s="173" t="s">
        <v>917</v>
      </c>
      <c r="B81" s="174">
        <v>2022</v>
      </c>
      <c r="C81" s="174">
        <v>9</v>
      </c>
      <c r="D81" s="175" t="s">
        <v>918</v>
      </c>
      <c r="E81" s="175" t="s">
        <v>919</v>
      </c>
      <c r="F81" s="175" t="s">
        <v>920</v>
      </c>
      <c r="G81" s="175" t="s">
        <v>666</v>
      </c>
      <c r="H81" s="175" t="s">
        <v>637</v>
      </c>
      <c r="I81" s="176">
        <v>807.5</v>
      </c>
      <c r="J81" s="177" t="s">
        <v>1060</v>
      </c>
      <c r="K81" s="177" t="s">
        <v>1061</v>
      </c>
      <c r="L81" s="178">
        <v>4</v>
      </c>
      <c r="M81" s="178" t="s">
        <v>614</v>
      </c>
      <c r="N81" s="178"/>
      <c r="O81" s="178"/>
      <c r="P81" s="177"/>
      <c r="Q81" s="177"/>
      <c r="R81" s="179" t="b">
        <v>1</v>
      </c>
      <c r="S81" s="177" t="s">
        <v>638</v>
      </c>
      <c r="T81" s="175"/>
    </row>
    <row r="82" spans="1:20" ht="33.950000000000003" customHeight="1">
      <c r="A82" s="173" t="s">
        <v>921</v>
      </c>
      <c r="B82" s="174">
        <v>2022</v>
      </c>
      <c r="C82" s="174">
        <v>10</v>
      </c>
      <c r="D82" s="175" t="s">
        <v>922</v>
      </c>
      <c r="E82" s="175" t="s">
        <v>923</v>
      </c>
      <c r="F82" s="175" t="s">
        <v>745</v>
      </c>
      <c r="G82" s="175"/>
      <c r="H82" s="175" t="s">
        <v>637</v>
      </c>
      <c r="I82" s="176">
        <v>1313.9</v>
      </c>
      <c r="J82" s="177"/>
      <c r="K82" s="177"/>
      <c r="L82" s="178"/>
      <c r="M82" s="178"/>
      <c r="N82" s="178"/>
      <c r="O82" s="178"/>
      <c r="P82" s="177"/>
      <c r="Q82" s="177"/>
      <c r="R82" s="179" t="b">
        <v>0</v>
      </c>
      <c r="S82" s="177" t="s">
        <v>638</v>
      </c>
      <c r="T82" s="175"/>
    </row>
    <row r="83" spans="1:20" ht="33.950000000000003" customHeight="1">
      <c r="A83" s="173" t="s">
        <v>924</v>
      </c>
      <c r="B83" s="174">
        <v>2022</v>
      </c>
      <c r="C83" s="174">
        <v>11</v>
      </c>
      <c r="D83" s="175" t="s">
        <v>925</v>
      </c>
      <c r="E83" s="175" t="s">
        <v>926</v>
      </c>
      <c r="F83" s="175" t="s">
        <v>927</v>
      </c>
      <c r="G83" s="175" t="s">
        <v>888</v>
      </c>
      <c r="H83" s="175" t="s">
        <v>637</v>
      </c>
      <c r="I83" s="176">
        <v>834.2</v>
      </c>
      <c r="J83" s="177"/>
      <c r="K83" s="177"/>
      <c r="L83" s="178"/>
      <c r="M83" s="178"/>
      <c r="N83" s="178"/>
      <c r="O83" s="178"/>
      <c r="P83" s="177"/>
      <c r="Q83" s="177"/>
      <c r="R83" s="179" t="b">
        <v>0</v>
      </c>
      <c r="S83" s="177" t="s">
        <v>638</v>
      </c>
      <c r="T83" s="175"/>
    </row>
    <row r="84" spans="1:20" ht="33.950000000000003" customHeight="1">
      <c r="A84" s="173" t="s">
        <v>928</v>
      </c>
      <c r="B84" s="174">
        <v>2022</v>
      </c>
      <c r="C84" s="174">
        <v>12</v>
      </c>
      <c r="D84" s="175" t="s">
        <v>929</v>
      </c>
      <c r="E84" s="175" t="s">
        <v>930</v>
      </c>
      <c r="F84" s="175" t="s">
        <v>931</v>
      </c>
      <c r="G84" s="175" t="s">
        <v>932</v>
      </c>
      <c r="H84" s="175" t="s">
        <v>637</v>
      </c>
      <c r="I84" s="176">
        <v>839.3</v>
      </c>
      <c r="J84" s="177" t="s">
        <v>1060</v>
      </c>
      <c r="K84" s="177" t="s">
        <v>1061</v>
      </c>
      <c r="L84" s="178">
        <v>4</v>
      </c>
      <c r="M84" s="178" t="s">
        <v>184</v>
      </c>
      <c r="N84" s="178"/>
      <c r="O84" s="178"/>
      <c r="P84" s="177"/>
      <c r="Q84" s="177"/>
      <c r="R84" s="179" t="b">
        <v>1</v>
      </c>
      <c r="S84" s="177" t="s">
        <v>638</v>
      </c>
      <c r="T84" s="175"/>
    </row>
    <row r="85" spans="1:20" ht="33.950000000000003" customHeight="1">
      <c r="A85" s="173" t="s">
        <v>933</v>
      </c>
      <c r="B85" s="174">
        <v>2022</v>
      </c>
      <c r="C85" s="174">
        <v>13</v>
      </c>
      <c r="D85" s="175" t="s">
        <v>934</v>
      </c>
      <c r="E85" s="175" t="s">
        <v>935</v>
      </c>
      <c r="F85" s="175" t="s">
        <v>936</v>
      </c>
      <c r="G85" s="175" t="s">
        <v>937</v>
      </c>
      <c r="H85" s="175" t="s">
        <v>637</v>
      </c>
      <c r="I85" s="176">
        <v>943.6</v>
      </c>
      <c r="J85" s="177" t="s">
        <v>1060</v>
      </c>
      <c r="K85" s="177" t="s">
        <v>1061</v>
      </c>
      <c r="L85" s="178">
        <v>5</v>
      </c>
      <c r="M85" s="178" t="s">
        <v>197</v>
      </c>
      <c r="N85" s="178"/>
      <c r="O85" s="178"/>
      <c r="P85" s="177"/>
      <c r="Q85" s="177"/>
      <c r="R85" s="179" t="b">
        <v>1</v>
      </c>
      <c r="S85" s="177" t="s">
        <v>638</v>
      </c>
      <c r="T85" s="175"/>
    </row>
    <row r="86" spans="1:20" ht="33.950000000000003" customHeight="1">
      <c r="A86" s="173" t="s">
        <v>938</v>
      </c>
      <c r="B86" s="174">
        <v>2022</v>
      </c>
      <c r="C86" s="174">
        <v>14</v>
      </c>
      <c r="D86" s="175" t="s">
        <v>939</v>
      </c>
      <c r="E86" s="175" t="s">
        <v>940</v>
      </c>
      <c r="F86" s="175" t="s">
        <v>941</v>
      </c>
      <c r="G86" s="175" t="s">
        <v>937</v>
      </c>
      <c r="H86" s="175" t="s">
        <v>637</v>
      </c>
      <c r="I86" s="176">
        <v>910.3</v>
      </c>
      <c r="J86" s="177" t="s">
        <v>1060</v>
      </c>
      <c r="K86" s="177" t="s">
        <v>1061</v>
      </c>
      <c r="L86" s="178">
        <v>3</v>
      </c>
      <c r="M86" s="180" t="s">
        <v>190</v>
      </c>
      <c r="N86" s="180"/>
      <c r="O86" s="178"/>
      <c r="P86" s="177"/>
      <c r="Q86" s="177"/>
      <c r="R86" s="179" t="b">
        <v>1</v>
      </c>
      <c r="S86" s="177" t="s">
        <v>638</v>
      </c>
      <c r="T86" s="175"/>
    </row>
    <row r="87" spans="1:20" ht="33.950000000000003" customHeight="1">
      <c r="A87" s="173" t="s">
        <v>942</v>
      </c>
      <c r="B87" s="174">
        <v>2022</v>
      </c>
      <c r="C87" s="174">
        <v>15</v>
      </c>
      <c r="D87" s="175" t="s">
        <v>943</v>
      </c>
      <c r="E87" s="175" t="s">
        <v>944</v>
      </c>
      <c r="F87" s="175" t="s">
        <v>945</v>
      </c>
      <c r="G87" s="175" t="s">
        <v>937</v>
      </c>
      <c r="H87" s="175" t="s">
        <v>637</v>
      </c>
      <c r="I87" s="176">
        <v>890.6</v>
      </c>
      <c r="J87" s="177" t="s">
        <v>1060</v>
      </c>
      <c r="K87" s="177" t="s">
        <v>1061</v>
      </c>
      <c r="L87" s="178">
        <v>7</v>
      </c>
      <c r="M87" s="178" t="s">
        <v>203</v>
      </c>
      <c r="N87" s="178"/>
      <c r="O87" s="178"/>
      <c r="P87" s="177"/>
      <c r="Q87" s="177"/>
      <c r="R87" s="179" t="b">
        <v>1</v>
      </c>
      <c r="S87" s="177" t="s">
        <v>638</v>
      </c>
      <c r="T87" s="175"/>
    </row>
    <row r="88" spans="1:20" ht="33.950000000000003" customHeight="1">
      <c r="A88" s="173" t="s">
        <v>946</v>
      </c>
      <c r="B88" s="174">
        <v>2022</v>
      </c>
      <c r="C88" s="174">
        <v>16</v>
      </c>
      <c r="D88" s="175" t="s">
        <v>947</v>
      </c>
      <c r="E88" s="175" t="s">
        <v>948</v>
      </c>
      <c r="F88" s="175" t="s">
        <v>945</v>
      </c>
      <c r="G88" s="175" t="s">
        <v>949</v>
      </c>
      <c r="H88" s="175" t="s">
        <v>637</v>
      </c>
      <c r="I88" s="176">
        <v>878.3</v>
      </c>
      <c r="J88" s="177" t="s">
        <v>1060</v>
      </c>
      <c r="K88" s="177" t="s">
        <v>1061</v>
      </c>
      <c r="L88" s="178">
        <v>3</v>
      </c>
      <c r="M88" s="178" t="s">
        <v>177</v>
      </c>
      <c r="N88" s="178"/>
      <c r="O88" s="178"/>
      <c r="P88" s="177"/>
      <c r="Q88" s="177"/>
      <c r="R88" s="179" t="b">
        <v>1</v>
      </c>
      <c r="S88" s="177" t="s">
        <v>638</v>
      </c>
      <c r="T88" s="175"/>
    </row>
    <row r="89" spans="1:20" ht="33.950000000000003" customHeight="1">
      <c r="A89" s="173" t="s">
        <v>950</v>
      </c>
      <c r="B89" s="174">
        <v>2022</v>
      </c>
      <c r="C89" s="174">
        <v>17</v>
      </c>
      <c r="D89" s="175" t="s">
        <v>951</v>
      </c>
      <c r="E89" s="175" t="s">
        <v>952</v>
      </c>
      <c r="F89" s="175" t="s">
        <v>945</v>
      </c>
      <c r="G89" s="175" t="s">
        <v>953</v>
      </c>
      <c r="H89" s="175" t="s">
        <v>637</v>
      </c>
      <c r="I89" s="176">
        <v>1231.8</v>
      </c>
      <c r="J89" s="177" t="s">
        <v>1060</v>
      </c>
      <c r="K89" s="177" t="s">
        <v>1061</v>
      </c>
      <c r="L89" s="178">
        <v>5</v>
      </c>
      <c r="M89" s="178" t="s">
        <v>210</v>
      </c>
      <c r="N89" s="178"/>
      <c r="O89" s="178"/>
      <c r="P89" s="177"/>
      <c r="Q89" s="177"/>
      <c r="R89" s="179" t="b">
        <v>1</v>
      </c>
      <c r="S89" s="177" t="s">
        <v>638</v>
      </c>
      <c r="T89" s="175"/>
    </row>
    <row r="90" spans="1:20" ht="33.950000000000003" customHeight="1">
      <c r="A90" s="173" t="s">
        <v>954</v>
      </c>
      <c r="B90" s="174">
        <v>2022</v>
      </c>
      <c r="C90" s="174">
        <v>17</v>
      </c>
      <c r="D90" s="175" t="s">
        <v>955</v>
      </c>
      <c r="E90" s="175" t="s">
        <v>956</v>
      </c>
      <c r="F90" s="175" t="s">
        <v>945</v>
      </c>
      <c r="G90" s="175" t="s">
        <v>957</v>
      </c>
      <c r="H90" s="175" t="s">
        <v>637</v>
      </c>
      <c r="I90" s="176">
        <v>1147.7</v>
      </c>
      <c r="J90" s="177" t="s">
        <v>1060</v>
      </c>
      <c r="K90" s="177" t="s">
        <v>1061</v>
      </c>
      <c r="L90" s="178">
        <v>3</v>
      </c>
      <c r="M90" s="178" t="s">
        <v>614</v>
      </c>
      <c r="N90" s="178"/>
      <c r="O90" s="178"/>
      <c r="P90" s="177"/>
      <c r="Q90" s="177"/>
      <c r="R90" s="179" t="b">
        <v>1</v>
      </c>
      <c r="S90" s="177" t="s">
        <v>638</v>
      </c>
      <c r="T90" s="175"/>
    </row>
    <row r="91" spans="1:20" ht="33.950000000000003" customHeight="1">
      <c r="A91" s="173" t="s">
        <v>958</v>
      </c>
      <c r="B91" s="174">
        <v>2022</v>
      </c>
      <c r="C91" s="174">
        <v>18</v>
      </c>
      <c r="D91" s="175" t="s">
        <v>959</v>
      </c>
      <c r="E91" s="175" t="s">
        <v>960</v>
      </c>
      <c r="F91" s="175" t="s">
        <v>936</v>
      </c>
      <c r="G91" s="175" t="s">
        <v>953</v>
      </c>
      <c r="H91" s="175" t="s">
        <v>637</v>
      </c>
      <c r="I91" s="176">
        <v>1130.8</v>
      </c>
      <c r="J91" s="177" t="s">
        <v>1060</v>
      </c>
      <c r="K91" s="177" t="s">
        <v>1061</v>
      </c>
      <c r="L91" s="178">
        <v>3</v>
      </c>
      <c r="M91" s="178" t="s">
        <v>197</v>
      </c>
      <c r="N91" s="178"/>
      <c r="O91" s="178"/>
      <c r="P91" s="177"/>
      <c r="Q91" s="177"/>
      <c r="R91" s="179" t="b">
        <v>1</v>
      </c>
      <c r="S91" s="177" t="s">
        <v>638</v>
      </c>
      <c r="T91" s="175"/>
    </row>
    <row r="92" spans="1:20" ht="33.950000000000003" customHeight="1">
      <c r="A92" s="173" t="s">
        <v>961</v>
      </c>
      <c r="B92" s="174">
        <v>2022</v>
      </c>
      <c r="C92" s="174">
        <v>19</v>
      </c>
      <c r="D92" s="175" t="s">
        <v>962</v>
      </c>
      <c r="E92" s="175" t="s">
        <v>963</v>
      </c>
      <c r="F92" s="175" t="s">
        <v>941</v>
      </c>
      <c r="G92" s="175" t="s">
        <v>953</v>
      </c>
      <c r="H92" s="175" t="s">
        <v>637</v>
      </c>
      <c r="I92" s="176">
        <v>1175.2</v>
      </c>
      <c r="J92" s="177" t="s">
        <v>1060</v>
      </c>
      <c r="K92" s="177" t="s">
        <v>1061</v>
      </c>
      <c r="L92" s="178">
        <v>2</v>
      </c>
      <c r="M92" s="178" t="s">
        <v>177</v>
      </c>
      <c r="N92" s="178"/>
      <c r="O92" s="178"/>
      <c r="P92" s="177"/>
      <c r="Q92" s="177"/>
      <c r="R92" s="179" t="b">
        <v>1</v>
      </c>
      <c r="S92" s="177" t="s">
        <v>638</v>
      </c>
      <c r="T92" s="175"/>
    </row>
    <row r="93" spans="1:20" ht="33.950000000000003" customHeight="1">
      <c r="A93" s="173" t="s">
        <v>964</v>
      </c>
      <c r="B93" s="174">
        <v>2022</v>
      </c>
      <c r="C93" s="174">
        <v>20</v>
      </c>
      <c r="D93" s="175" t="s">
        <v>965</v>
      </c>
      <c r="E93" s="175" t="s">
        <v>966</v>
      </c>
      <c r="F93" s="175" t="s">
        <v>723</v>
      </c>
      <c r="G93" s="175" t="s">
        <v>893</v>
      </c>
      <c r="H93" s="175" t="s">
        <v>637</v>
      </c>
      <c r="I93" s="176">
        <v>1287.5</v>
      </c>
      <c r="J93" s="177" t="s">
        <v>1060</v>
      </c>
      <c r="K93" s="177" t="s">
        <v>1061</v>
      </c>
      <c r="L93" s="178">
        <v>1</v>
      </c>
      <c r="M93" s="178" t="s">
        <v>169</v>
      </c>
      <c r="N93" s="178"/>
      <c r="O93" s="178"/>
      <c r="P93" s="177"/>
      <c r="Q93" s="177"/>
      <c r="R93" s="179" t="b">
        <v>1</v>
      </c>
      <c r="S93" s="177" t="s">
        <v>638</v>
      </c>
      <c r="T93" s="175"/>
    </row>
    <row r="94" spans="1:20" ht="33.950000000000003" customHeight="1">
      <c r="A94" s="173" t="s">
        <v>967</v>
      </c>
      <c r="B94" s="174">
        <v>2022</v>
      </c>
      <c r="C94" s="174">
        <v>21</v>
      </c>
      <c r="D94" s="175" t="s">
        <v>968</v>
      </c>
      <c r="E94" s="175" t="s">
        <v>969</v>
      </c>
      <c r="F94" s="175" t="s">
        <v>723</v>
      </c>
      <c r="G94" s="175" t="s">
        <v>893</v>
      </c>
      <c r="H94" s="175" t="s">
        <v>637</v>
      </c>
      <c r="I94" s="176">
        <v>1280</v>
      </c>
      <c r="J94" s="177" t="s">
        <v>1060</v>
      </c>
      <c r="K94" s="177" t="s">
        <v>1061</v>
      </c>
      <c r="L94" s="178">
        <v>2</v>
      </c>
      <c r="M94" s="178" t="s">
        <v>169</v>
      </c>
      <c r="N94" s="178"/>
      <c r="O94" s="178"/>
      <c r="P94" s="177"/>
      <c r="Q94" s="177"/>
      <c r="R94" s="179" t="b">
        <v>1</v>
      </c>
      <c r="S94" s="177" t="s">
        <v>638</v>
      </c>
      <c r="T94" s="175"/>
    </row>
    <row r="95" spans="1:20" ht="33.950000000000003" customHeight="1">
      <c r="A95" s="173" t="s">
        <v>970</v>
      </c>
      <c r="B95" s="174">
        <v>2022</v>
      </c>
      <c r="C95" s="174">
        <v>22</v>
      </c>
      <c r="D95" s="175" t="s">
        <v>971</v>
      </c>
      <c r="E95" s="175" t="s">
        <v>972</v>
      </c>
      <c r="F95" s="175" t="s">
        <v>973</v>
      </c>
      <c r="G95" s="175" t="s">
        <v>893</v>
      </c>
      <c r="H95" s="175" t="s">
        <v>637</v>
      </c>
      <c r="I95" s="176">
        <v>936.4</v>
      </c>
      <c r="J95" s="177" t="s">
        <v>1060</v>
      </c>
      <c r="K95" s="177" t="s">
        <v>1061</v>
      </c>
      <c r="L95" s="178">
        <v>2</v>
      </c>
      <c r="M95" s="178" t="s">
        <v>197</v>
      </c>
      <c r="N95" s="178"/>
      <c r="O95" s="178"/>
      <c r="P95" s="177"/>
      <c r="Q95" s="177"/>
      <c r="R95" s="179" t="b">
        <v>1</v>
      </c>
      <c r="S95" s="177" t="s">
        <v>638</v>
      </c>
      <c r="T95" s="175"/>
    </row>
    <row r="96" spans="1:20" ht="33.950000000000003" customHeight="1">
      <c r="A96" s="173" t="s">
        <v>974</v>
      </c>
      <c r="B96" s="174">
        <v>2022</v>
      </c>
      <c r="C96" s="174">
        <v>23</v>
      </c>
      <c r="D96" s="175" t="s">
        <v>975</v>
      </c>
      <c r="E96" s="175" t="s">
        <v>976</v>
      </c>
      <c r="F96" s="175" t="s">
        <v>977</v>
      </c>
      <c r="G96" s="175"/>
      <c r="H96" s="175" t="s">
        <v>637</v>
      </c>
      <c r="I96" s="176">
        <v>621.1</v>
      </c>
      <c r="J96" s="177" t="s">
        <v>1060</v>
      </c>
      <c r="K96" s="177" t="s">
        <v>1061</v>
      </c>
      <c r="L96" s="178">
        <v>4</v>
      </c>
      <c r="M96" s="178" t="s">
        <v>210</v>
      </c>
      <c r="N96" s="178"/>
      <c r="O96" s="178"/>
      <c r="P96" s="177"/>
      <c r="Q96" s="177"/>
      <c r="R96" s="179" t="b">
        <v>1</v>
      </c>
      <c r="S96" s="177" t="s">
        <v>638</v>
      </c>
      <c r="T96" s="175"/>
    </row>
    <row r="97" spans="1:20" ht="33.950000000000003" customHeight="1">
      <c r="A97" s="173" t="s">
        <v>978</v>
      </c>
      <c r="B97" s="174">
        <v>2025</v>
      </c>
      <c r="C97" s="174">
        <v>1</v>
      </c>
      <c r="D97" s="175" t="s">
        <v>979</v>
      </c>
      <c r="E97" s="175" t="s">
        <v>980</v>
      </c>
      <c r="F97" s="175" t="s">
        <v>635</v>
      </c>
      <c r="G97" s="175" t="s">
        <v>666</v>
      </c>
      <c r="H97" s="175" t="s">
        <v>637</v>
      </c>
      <c r="I97" s="176">
        <v>1617.2</v>
      </c>
      <c r="J97" s="177" t="s">
        <v>1060</v>
      </c>
      <c r="K97" s="177" t="s">
        <v>1061</v>
      </c>
      <c r="L97" s="178">
        <v>2</v>
      </c>
      <c r="M97" s="178" t="s">
        <v>203</v>
      </c>
      <c r="N97" s="178"/>
      <c r="O97" s="178"/>
      <c r="P97" s="177"/>
      <c r="Q97" s="177"/>
      <c r="R97" s="179" t="b">
        <v>1</v>
      </c>
      <c r="S97" s="177" t="s">
        <v>638</v>
      </c>
      <c r="T97" s="175"/>
    </row>
    <row r="98" spans="1:20" ht="33.950000000000003" customHeight="1">
      <c r="A98" s="173" t="s">
        <v>981</v>
      </c>
      <c r="B98" s="174">
        <v>2025</v>
      </c>
      <c r="C98" s="174">
        <v>2</v>
      </c>
      <c r="D98" s="175" t="s">
        <v>982</v>
      </c>
      <c r="E98" s="175" t="s">
        <v>983</v>
      </c>
      <c r="F98" s="175" t="s">
        <v>984</v>
      </c>
      <c r="G98" s="175" t="s">
        <v>985</v>
      </c>
      <c r="H98" s="175" t="s">
        <v>637</v>
      </c>
      <c r="I98" s="176">
        <v>1589.1</v>
      </c>
      <c r="J98" s="177"/>
      <c r="K98" s="177"/>
      <c r="L98" s="178"/>
      <c r="M98" s="178"/>
      <c r="N98" s="178"/>
      <c r="O98" s="178"/>
      <c r="P98" s="177"/>
      <c r="Q98" s="177"/>
      <c r="R98" s="179" t="b">
        <v>0</v>
      </c>
      <c r="S98" s="177" t="s">
        <v>638</v>
      </c>
      <c r="T98" s="175"/>
    </row>
    <row r="99" spans="1:20" ht="33.950000000000003" customHeight="1">
      <c r="A99" s="173" t="s">
        <v>986</v>
      </c>
      <c r="B99" s="174">
        <v>2025</v>
      </c>
      <c r="C99" s="174">
        <v>3</v>
      </c>
      <c r="D99" s="175" t="s">
        <v>987</v>
      </c>
      <c r="E99" s="175" t="s">
        <v>988</v>
      </c>
      <c r="F99" s="175" t="s">
        <v>664</v>
      </c>
      <c r="G99" s="175" t="s">
        <v>666</v>
      </c>
      <c r="H99" s="175" t="s">
        <v>637</v>
      </c>
      <c r="I99" s="176">
        <v>859.6</v>
      </c>
      <c r="J99" s="177" t="s">
        <v>1060</v>
      </c>
      <c r="K99" s="177" t="s">
        <v>1061</v>
      </c>
      <c r="L99" s="178">
        <v>1</v>
      </c>
      <c r="M99" s="178" t="s">
        <v>190</v>
      </c>
      <c r="N99" s="178"/>
      <c r="O99" s="178"/>
      <c r="P99" s="177"/>
      <c r="Q99" s="177"/>
      <c r="R99" s="179" t="b">
        <v>1</v>
      </c>
      <c r="S99" s="177" t="s">
        <v>638</v>
      </c>
      <c r="T99" s="175"/>
    </row>
    <row r="100" spans="1:20" ht="33.950000000000003" customHeight="1">
      <c r="A100" s="173" t="s">
        <v>989</v>
      </c>
      <c r="B100" s="174">
        <v>2025</v>
      </c>
      <c r="C100" s="174">
        <v>4</v>
      </c>
      <c r="D100" s="175" t="s">
        <v>990</v>
      </c>
      <c r="E100" s="175" t="s">
        <v>991</v>
      </c>
      <c r="F100" s="175" t="s">
        <v>635</v>
      </c>
      <c r="G100" s="175" t="s">
        <v>666</v>
      </c>
      <c r="H100" s="175" t="s">
        <v>637</v>
      </c>
      <c r="I100" s="176">
        <v>1045.5999999999999</v>
      </c>
      <c r="J100" s="177" t="s">
        <v>1060</v>
      </c>
      <c r="K100" s="177" t="s">
        <v>1061</v>
      </c>
      <c r="L100" s="178">
        <v>3</v>
      </c>
      <c r="M100" s="178" t="s">
        <v>203</v>
      </c>
      <c r="N100" s="178"/>
      <c r="O100" s="178"/>
      <c r="P100" s="177"/>
      <c r="Q100" s="177"/>
      <c r="R100" s="179" t="b">
        <v>1</v>
      </c>
      <c r="S100" s="177" t="s">
        <v>638</v>
      </c>
      <c r="T100" s="175"/>
    </row>
    <row r="101" spans="1:20" ht="33.950000000000003" customHeight="1">
      <c r="A101" s="173" t="s">
        <v>992</v>
      </c>
      <c r="B101" s="174">
        <v>2025</v>
      </c>
      <c r="C101" s="174">
        <v>5</v>
      </c>
      <c r="D101" s="175" t="s">
        <v>993</v>
      </c>
      <c r="E101" s="175" t="s">
        <v>994</v>
      </c>
      <c r="F101" s="175" t="s">
        <v>683</v>
      </c>
      <c r="G101" s="175" t="s">
        <v>666</v>
      </c>
      <c r="H101" s="175" t="s">
        <v>637</v>
      </c>
      <c r="I101" s="176">
        <v>2105.5</v>
      </c>
      <c r="J101" s="177" t="s">
        <v>1060</v>
      </c>
      <c r="K101" s="177" t="s">
        <v>1061</v>
      </c>
      <c r="L101" s="178">
        <v>1</v>
      </c>
      <c r="M101" s="178" t="s">
        <v>210</v>
      </c>
      <c r="N101" s="178"/>
      <c r="O101" s="178"/>
      <c r="P101" s="177"/>
      <c r="Q101" s="177"/>
      <c r="R101" s="179" t="b">
        <v>1</v>
      </c>
      <c r="S101" s="177" t="s">
        <v>638</v>
      </c>
      <c r="T101" s="175"/>
    </row>
    <row r="102" spans="1:20" ht="33.950000000000003" customHeight="1">
      <c r="A102" s="173" t="s">
        <v>995</v>
      </c>
      <c r="B102" s="174">
        <v>2025</v>
      </c>
      <c r="C102" s="174">
        <v>6</v>
      </c>
      <c r="D102" s="175" t="s">
        <v>996</v>
      </c>
      <c r="E102" s="175" t="s">
        <v>997</v>
      </c>
      <c r="F102" s="175" t="s">
        <v>683</v>
      </c>
      <c r="G102" s="175" t="s">
        <v>666</v>
      </c>
      <c r="H102" s="175" t="s">
        <v>637</v>
      </c>
      <c r="I102" s="176">
        <v>755.3</v>
      </c>
      <c r="J102" s="177"/>
      <c r="K102" s="177"/>
      <c r="L102" s="178"/>
      <c r="M102" s="178"/>
      <c r="N102" s="178"/>
      <c r="O102" s="178"/>
      <c r="P102" s="177"/>
      <c r="Q102" s="177"/>
      <c r="R102" s="179" t="b">
        <v>0</v>
      </c>
      <c r="S102" s="177" t="s">
        <v>638</v>
      </c>
      <c r="T102" s="175"/>
    </row>
    <row r="103" spans="1:20" ht="33.950000000000003" customHeight="1">
      <c r="A103" s="173" t="s">
        <v>998</v>
      </c>
      <c r="B103" s="174">
        <v>2025</v>
      </c>
      <c r="C103" s="174">
        <v>7</v>
      </c>
      <c r="D103" s="175" t="s">
        <v>999</v>
      </c>
      <c r="E103" s="175" t="s">
        <v>1000</v>
      </c>
      <c r="F103" s="175" t="s">
        <v>1001</v>
      </c>
      <c r="G103" s="175" t="s">
        <v>1002</v>
      </c>
      <c r="H103" s="175" t="s">
        <v>637</v>
      </c>
      <c r="I103" s="176">
        <v>1297</v>
      </c>
      <c r="J103" s="177" t="s">
        <v>1060</v>
      </c>
      <c r="K103" s="177" t="s">
        <v>1061</v>
      </c>
      <c r="L103" s="178">
        <v>6</v>
      </c>
      <c r="M103" s="178" t="s">
        <v>210</v>
      </c>
      <c r="N103" s="178"/>
      <c r="O103" s="178"/>
      <c r="P103" s="177"/>
      <c r="Q103" s="177"/>
      <c r="R103" s="179" t="b">
        <v>1</v>
      </c>
      <c r="S103" s="177" t="s">
        <v>638</v>
      </c>
      <c r="T103" s="175"/>
    </row>
    <row r="104" spans="1:20" ht="33.950000000000003" customHeight="1">
      <c r="A104" s="173" t="s">
        <v>1003</v>
      </c>
      <c r="B104" s="174">
        <v>2025</v>
      </c>
      <c r="C104" s="174">
        <v>8</v>
      </c>
      <c r="D104" s="175" t="s">
        <v>1004</v>
      </c>
      <c r="E104" s="175" t="s">
        <v>1005</v>
      </c>
      <c r="F104" s="175" t="s">
        <v>1006</v>
      </c>
      <c r="G104" s="175" t="s">
        <v>1002</v>
      </c>
      <c r="H104" s="175" t="s">
        <v>637</v>
      </c>
      <c r="I104" s="176">
        <v>1261.2</v>
      </c>
      <c r="J104" s="177" t="s">
        <v>1057</v>
      </c>
      <c r="K104" s="177" t="s">
        <v>1059</v>
      </c>
      <c r="L104" s="178">
        <v>3</v>
      </c>
      <c r="M104" s="178"/>
      <c r="N104" s="178"/>
      <c r="O104" s="178"/>
      <c r="P104" s="177"/>
      <c r="Q104" s="177"/>
      <c r="R104" s="179" t="b">
        <v>1</v>
      </c>
      <c r="S104" s="177" t="s">
        <v>638</v>
      </c>
      <c r="T104" s="175"/>
    </row>
    <row r="105" spans="1:20" ht="33.950000000000003" customHeight="1">
      <c r="A105" s="173" t="s">
        <v>1007</v>
      </c>
      <c r="B105" s="174">
        <v>2025</v>
      </c>
      <c r="C105" s="174">
        <v>9</v>
      </c>
      <c r="D105" s="175" t="s">
        <v>1008</v>
      </c>
      <c r="E105" s="175" t="s">
        <v>1009</v>
      </c>
      <c r="F105" s="175" t="s">
        <v>1010</v>
      </c>
      <c r="G105" s="175" t="s">
        <v>1011</v>
      </c>
      <c r="H105" s="175" t="s">
        <v>637</v>
      </c>
      <c r="I105" s="176">
        <v>1539</v>
      </c>
      <c r="J105" s="177" t="s">
        <v>1060</v>
      </c>
      <c r="K105" s="177" t="s">
        <v>1061</v>
      </c>
      <c r="L105" s="178">
        <v>3</v>
      </c>
      <c r="M105" s="178" t="s">
        <v>169</v>
      </c>
      <c r="N105" s="178"/>
      <c r="O105" s="178"/>
      <c r="P105" s="177"/>
      <c r="Q105" s="177"/>
      <c r="R105" s="179" t="b">
        <v>1</v>
      </c>
      <c r="S105" s="177" t="s">
        <v>638</v>
      </c>
      <c r="T105" s="175"/>
    </row>
    <row r="106" spans="1:20" ht="33.950000000000003" customHeight="1">
      <c r="A106" s="173" t="s">
        <v>1012</v>
      </c>
      <c r="B106" s="174">
        <v>2025</v>
      </c>
      <c r="C106" s="174">
        <v>10</v>
      </c>
      <c r="D106" s="175" t="s">
        <v>1013</v>
      </c>
      <c r="E106" s="175" t="s">
        <v>1014</v>
      </c>
      <c r="F106" s="175" t="s">
        <v>1015</v>
      </c>
      <c r="G106" s="175" t="s">
        <v>1016</v>
      </c>
      <c r="H106" s="175" t="s">
        <v>637</v>
      </c>
      <c r="I106" s="176">
        <v>1538</v>
      </c>
      <c r="J106" s="177" t="s">
        <v>1060</v>
      </c>
      <c r="K106" s="177" t="s">
        <v>1061</v>
      </c>
      <c r="L106" s="178">
        <v>4</v>
      </c>
      <c r="M106" s="178" t="s">
        <v>169</v>
      </c>
      <c r="N106" s="178"/>
      <c r="O106" s="178"/>
      <c r="P106" s="177"/>
      <c r="Q106" s="177"/>
      <c r="R106" s="179" t="b">
        <v>1</v>
      </c>
      <c r="S106" s="177" t="s">
        <v>638</v>
      </c>
      <c r="T106" s="175"/>
    </row>
    <row r="107" spans="1:20" ht="33.950000000000003" customHeight="1">
      <c r="A107" s="173" t="s">
        <v>1017</v>
      </c>
      <c r="B107" s="174">
        <v>2025</v>
      </c>
      <c r="C107" s="174">
        <v>11</v>
      </c>
      <c r="D107" s="175" t="s">
        <v>1018</v>
      </c>
      <c r="E107" s="175" t="s">
        <v>1019</v>
      </c>
      <c r="F107" s="175" t="s">
        <v>1020</v>
      </c>
      <c r="G107" s="175" t="s">
        <v>1021</v>
      </c>
      <c r="H107" s="175" t="s">
        <v>637</v>
      </c>
      <c r="I107" s="176">
        <v>1226.2</v>
      </c>
      <c r="J107" s="177" t="s">
        <v>1060</v>
      </c>
      <c r="K107" s="177" t="s">
        <v>1061</v>
      </c>
      <c r="L107" s="178">
        <v>2</v>
      </c>
      <c r="M107" s="178" t="s">
        <v>614</v>
      </c>
      <c r="N107" s="178"/>
      <c r="O107" s="178"/>
      <c r="P107" s="177"/>
      <c r="Q107" s="177"/>
      <c r="R107" s="179" t="b">
        <v>1</v>
      </c>
      <c r="S107" s="177" t="s">
        <v>638</v>
      </c>
      <c r="T107" s="175"/>
    </row>
    <row r="108" spans="1:20" ht="33.950000000000003" customHeight="1">
      <c r="A108" s="173" t="s">
        <v>1022</v>
      </c>
      <c r="B108" s="174">
        <v>2025</v>
      </c>
      <c r="C108" s="174">
        <v>12</v>
      </c>
      <c r="D108" s="175" t="s">
        <v>1023</v>
      </c>
      <c r="E108" s="175" t="s">
        <v>1024</v>
      </c>
      <c r="F108" s="175" t="s">
        <v>683</v>
      </c>
      <c r="G108" s="175" t="s">
        <v>666</v>
      </c>
      <c r="H108" s="175" t="s">
        <v>637</v>
      </c>
      <c r="I108" s="176">
        <v>1572.2</v>
      </c>
      <c r="J108" s="177" t="s">
        <v>1057</v>
      </c>
      <c r="K108" s="177" t="s">
        <v>1059</v>
      </c>
      <c r="L108" s="178">
        <v>4</v>
      </c>
      <c r="M108" s="178"/>
      <c r="N108" s="178"/>
      <c r="O108" s="178"/>
      <c r="P108" s="177"/>
      <c r="Q108" s="177"/>
      <c r="R108" s="179" t="b">
        <v>1</v>
      </c>
      <c r="S108" s="177" t="s">
        <v>638</v>
      </c>
      <c r="T108" s="175"/>
    </row>
    <row r="109" spans="1:20" ht="33.950000000000003" customHeight="1">
      <c r="A109" s="173" t="s">
        <v>1025</v>
      </c>
      <c r="B109" s="174">
        <v>2025</v>
      </c>
      <c r="C109" s="174">
        <v>13</v>
      </c>
      <c r="D109" s="175" t="s">
        <v>1026</v>
      </c>
      <c r="E109" s="175" t="s">
        <v>1027</v>
      </c>
      <c r="F109" s="175" t="s">
        <v>1028</v>
      </c>
      <c r="G109" s="175" t="s">
        <v>1029</v>
      </c>
      <c r="H109" s="175" t="s">
        <v>637</v>
      </c>
      <c r="I109" s="176">
        <v>618.9</v>
      </c>
      <c r="J109" s="177" t="s">
        <v>1060</v>
      </c>
      <c r="K109" s="177" t="s">
        <v>1061</v>
      </c>
      <c r="L109" s="178">
        <v>4</v>
      </c>
      <c r="M109" s="178" t="s">
        <v>203</v>
      </c>
      <c r="N109" s="178"/>
      <c r="O109" s="178"/>
      <c r="P109" s="177"/>
      <c r="Q109" s="177"/>
      <c r="R109" s="179" t="b">
        <v>1</v>
      </c>
      <c r="S109" s="177" t="s">
        <v>638</v>
      </c>
      <c r="T109" s="175"/>
    </row>
    <row r="110" spans="1:20" ht="33.950000000000003" customHeight="1">
      <c r="A110" s="173" t="s">
        <v>1030</v>
      </c>
      <c r="B110" s="174">
        <v>2025</v>
      </c>
      <c r="C110" s="174">
        <v>14</v>
      </c>
      <c r="D110" s="175" t="s">
        <v>1053</v>
      </c>
      <c r="E110" s="175" t="s">
        <v>1054</v>
      </c>
      <c r="F110" s="175" t="s">
        <v>671</v>
      </c>
      <c r="G110" s="175" t="s">
        <v>1031</v>
      </c>
      <c r="H110" s="175" t="s">
        <v>637</v>
      </c>
      <c r="I110" s="176">
        <v>1506.5</v>
      </c>
      <c r="J110" s="177" t="s">
        <v>1060</v>
      </c>
      <c r="K110" s="177" t="s">
        <v>1061</v>
      </c>
      <c r="L110" s="178">
        <v>1</v>
      </c>
      <c r="M110" s="178" t="s">
        <v>197</v>
      </c>
      <c r="N110" s="178"/>
      <c r="O110" s="178"/>
      <c r="P110" s="177"/>
      <c r="Q110" s="177"/>
      <c r="R110" s="179" t="b">
        <v>1</v>
      </c>
      <c r="S110" s="177" t="s">
        <v>638</v>
      </c>
      <c r="T110" s="175" t="s">
        <v>1052</v>
      </c>
    </row>
    <row r="111" spans="1:20" ht="33.950000000000003" customHeight="1">
      <c r="A111" s="173" t="s">
        <v>1032</v>
      </c>
      <c r="B111" s="174">
        <v>2025</v>
      </c>
      <c r="C111" s="174">
        <v>15</v>
      </c>
      <c r="D111" s="175" t="s">
        <v>1033</v>
      </c>
      <c r="E111" s="175" t="s">
        <v>1034</v>
      </c>
      <c r="F111" s="175" t="s">
        <v>1066</v>
      </c>
      <c r="G111" s="175" t="s">
        <v>1031</v>
      </c>
      <c r="H111" s="175" t="s">
        <v>637</v>
      </c>
      <c r="I111" s="176">
        <v>1571.1</v>
      </c>
      <c r="J111" s="177" t="s">
        <v>1057</v>
      </c>
      <c r="K111" s="177" t="s">
        <v>1059</v>
      </c>
      <c r="L111" s="178">
        <v>2</v>
      </c>
      <c r="M111" s="178"/>
      <c r="N111" s="178"/>
      <c r="O111" s="178"/>
      <c r="P111" s="177"/>
      <c r="Q111" s="177"/>
      <c r="R111" s="179" t="b">
        <v>1</v>
      </c>
      <c r="S111" s="177" t="s">
        <v>638</v>
      </c>
      <c r="T111" s="175"/>
    </row>
    <row r="112" spans="1:20" ht="33.950000000000003" customHeight="1">
      <c r="A112" s="173" t="s">
        <v>1035</v>
      </c>
      <c r="B112" s="174">
        <v>2025</v>
      </c>
      <c r="C112" s="174">
        <v>16</v>
      </c>
      <c r="D112" s="175" t="s">
        <v>1036</v>
      </c>
      <c r="E112" s="175" t="s">
        <v>1037</v>
      </c>
      <c r="F112" s="175" t="s">
        <v>1020</v>
      </c>
      <c r="G112" s="175" t="s">
        <v>1038</v>
      </c>
      <c r="H112" s="175" t="s">
        <v>637</v>
      </c>
      <c r="I112" s="176">
        <v>1190.3</v>
      </c>
      <c r="J112" s="177" t="s">
        <v>1057</v>
      </c>
      <c r="K112" s="177" t="s">
        <v>1059</v>
      </c>
      <c r="L112" s="178">
        <v>1</v>
      </c>
      <c r="M112" s="178"/>
      <c r="N112" s="178"/>
      <c r="O112" s="178"/>
      <c r="P112" s="177"/>
      <c r="Q112" s="177"/>
      <c r="R112" s="179" t="b">
        <v>1</v>
      </c>
      <c r="S112" s="177" t="s">
        <v>638</v>
      </c>
      <c r="T112" s="175"/>
    </row>
    <row r="113" spans="1:20" ht="33.950000000000003" customHeight="1">
      <c r="A113" s="173" t="s">
        <v>1039</v>
      </c>
      <c r="B113" s="174">
        <v>2025</v>
      </c>
      <c r="C113" s="174">
        <v>17</v>
      </c>
      <c r="D113" s="175" t="s">
        <v>1040</v>
      </c>
      <c r="E113" s="175" t="s">
        <v>1041</v>
      </c>
      <c r="F113" s="175" t="s">
        <v>1020</v>
      </c>
      <c r="G113" s="175" t="s">
        <v>1031</v>
      </c>
      <c r="H113" s="175" t="s">
        <v>637</v>
      </c>
      <c r="I113" s="176">
        <v>1054.8</v>
      </c>
      <c r="J113" s="177" t="s">
        <v>1060</v>
      </c>
      <c r="K113" s="177" t="s">
        <v>1061</v>
      </c>
      <c r="L113" s="178">
        <v>5</v>
      </c>
      <c r="M113" s="178" t="s">
        <v>203</v>
      </c>
      <c r="N113" s="178"/>
      <c r="O113" s="178"/>
      <c r="P113" s="177"/>
      <c r="Q113" s="177"/>
      <c r="R113" s="179" t="b">
        <v>1</v>
      </c>
      <c r="S113" s="177" t="s">
        <v>638</v>
      </c>
      <c r="T113" s="175"/>
    </row>
    <row r="114" spans="1:20" ht="33.950000000000003" customHeight="1">
      <c r="A114" s="173" t="s">
        <v>1042</v>
      </c>
      <c r="B114" s="174">
        <v>2025</v>
      </c>
      <c r="C114" s="174">
        <v>18</v>
      </c>
      <c r="D114" s="175" t="s">
        <v>1043</v>
      </c>
      <c r="E114" s="175" t="s">
        <v>1044</v>
      </c>
      <c r="F114" s="175" t="s">
        <v>1010</v>
      </c>
      <c r="G114" s="175" t="s">
        <v>1011</v>
      </c>
      <c r="H114" s="175" t="s">
        <v>637</v>
      </c>
      <c r="I114" s="176">
        <v>966.6</v>
      </c>
      <c r="J114" s="177" t="s">
        <v>1060</v>
      </c>
      <c r="K114" s="177" t="s">
        <v>1061</v>
      </c>
      <c r="L114" s="178">
        <v>6</v>
      </c>
      <c r="M114" s="178" t="s">
        <v>169</v>
      </c>
      <c r="N114" s="178"/>
      <c r="O114" s="178"/>
      <c r="P114" s="177"/>
      <c r="Q114" s="177"/>
      <c r="R114" s="179" t="b">
        <v>1</v>
      </c>
      <c r="S114" s="177" t="s">
        <v>638</v>
      </c>
      <c r="T114" s="175"/>
    </row>
    <row r="115" spans="1:20" ht="33.950000000000003" customHeight="1">
      <c r="A115" s="173" t="s">
        <v>1045</v>
      </c>
      <c r="B115" s="174">
        <v>2025</v>
      </c>
      <c r="C115" s="174">
        <v>19</v>
      </c>
      <c r="D115" s="175" t="s">
        <v>1055</v>
      </c>
      <c r="E115" s="175" t="s">
        <v>1056</v>
      </c>
      <c r="F115" s="175" t="s">
        <v>671</v>
      </c>
      <c r="G115" s="175" t="s">
        <v>1038</v>
      </c>
      <c r="H115" s="175" t="s">
        <v>637</v>
      </c>
      <c r="I115" s="176">
        <v>1289.5</v>
      </c>
      <c r="J115" s="177" t="s">
        <v>1057</v>
      </c>
      <c r="K115" s="177" t="s">
        <v>1058</v>
      </c>
      <c r="L115" s="178"/>
      <c r="M115" s="178"/>
      <c r="N115" s="178"/>
      <c r="O115" s="178"/>
      <c r="P115" s="177"/>
      <c r="Q115" s="177"/>
      <c r="R115" s="179" t="b">
        <v>1</v>
      </c>
      <c r="S115" s="177" t="s">
        <v>638</v>
      </c>
      <c r="T115" s="175" t="s">
        <v>1052</v>
      </c>
    </row>
    <row r="116" spans="1:20" ht="33.950000000000003" customHeight="1">
      <c r="A116" s="173" t="s">
        <v>1046</v>
      </c>
      <c r="B116" s="174">
        <v>2025</v>
      </c>
      <c r="C116" s="174">
        <v>20</v>
      </c>
      <c r="D116" s="175" t="s">
        <v>1047</v>
      </c>
      <c r="E116" s="175" t="s">
        <v>1048</v>
      </c>
      <c r="F116" s="175" t="s">
        <v>1001</v>
      </c>
      <c r="G116" s="175" t="s">
        <v>837</v>
      </c>
      <c r="H116" s="175" t="s">
        <v>637</v>
      </c>
      <c r="I116" s="176">
        <v>1303.2</v>
      </c>
      <c r="J116" s="177" t="s">
        <v>1060</v>
      </c>
      <c r="K116" s="177" t="s">
        <v>1061</v>
      </c>
      <c r="L116" s="178">
        <v>5</v>
      </c>
      <c r="M116" s="178" t="s">
        <v>169</v>
      </c>
      <c r="N116" s="178"/>
      <c r="O116" s="178"/>
      <c r="P116" s="177"/>
      <c r="Q116" s="177"/>
      <c r="R116" s="179" t="b">
        <v>1</v>
      </c>
      <c r="S116" s="177" t="s">
        <v>638</v>
      </c>
      <c r="T116" s="175"/>
    </row>
    <row r="117" spans="1:20" ht="114.75">
      <c r="A117" s="173" t="s">
        <v>1045</v>
      </c>
      <c r="B117" s="174">
        <v>2025</v>
      </c>
      <c r="C117" s="174">
        <v>19</v>
      </c>
      <c r="D117" s="175" t="s">
        <v>1055</v>
      </c>
      <c r="E117" s="175" t="s">
        <v>1056</v>
      </c>
      <c r="F117" s="175" t="s">
        <v>671</v>
      </c>
      <c r="G117" s="175" t="s">
        <v>1038</v>
      </c>
      <c r="H117" s="175" t="s">
        <v>637</v>
      </c>
      <c r="I117" s="176">
        <v>1289.5</v>
      </c>
      <c r="J117" s="177" t="s">
        <v>1060</v>
      </c>
      <c r="K117" s="177" t="s">
        <v>1061</v>
      </c>
      <c r="L117" s="178">
        <v>6</v>
      </c>
      <c r="M117" s="178" t="s">
        <v>203</v>
      </c>
      <c r="N117" s="178"/>
      <c r="O117" s="178"/>
      <c r="P117" s="177"/>
      <c r="Q117" s="177"/>
      <c r="R117" s="179" t="b">
        <v>1</v>
      </c>
      <c r="S117" s="177" t="s">
        <v>638</v>
      </c>
      <c r="T117" s="175" t="s">
        <v>1052</v>
      </c>
    </row>
    <row r="118" spans="1:20" ht="25.5">
      <c r="A118" s="173" t="s">
        <v>1007</v>
      </c>
      <c r="B118" s="174">
        <v>2025</v>
      </c>
      <c r="C118" s="174">
        <v>9</v>
      </c>
      <c r="D118" s="175" t="s">
        <v>1008</v>
      </c>
      <c r="E118" s="175" t="s">
        <v>1009</v>
      </c>
      <c r="F118" s="175" t="s">
        <v>1010</v>
      </c>
      <c r="G118" s="175" t="s">
        <v>1011</v>
      </c>
      <c r="H118" s="175" t="s">
        <v>637</v>
      </c>
      <c r="I118" s="176">
        <v>1539</v>
      </c>
      <c r="J118" s="177" t="s">
        <v>1060</v>
      </c>
      <c r="K118" s="177" t="s">
        <v>1061</v>
      </c>
      <c r="L118" s="178">
        <v>2</v>
      </c>
      <c r="M118" s="180" t="s">
        <v>190</v>
      </c>
      <c r="N118" s="180"/>
      <c r="O118" s="178"/>
      <c r="P118" s="177"/>
      <c r="Q118" s="177"/>
      <c r="R118" s="179" t="b">
        <v>1</v>
      </c>
      <c r="S118" s="177" t="s">
        <v>638</v>
      </c>
      <c r="T118" s="175"/>
    </row>
    <row r="119" spans="1:20">
      <c r="A119" s="173" t="s">
        <v>833</v>
      </c>
      <c r="B119" s="174">
        <v>2021</v>
      </c>
      <c r="C119" s="174">
        <v>23</v>
      </c>
      <c r="D119" s="175" t="s">
        <v>834</v>
      </c>
      <c r="E119" s="175" t="s">
        <v>835</v>
      </c>
      <c r="F119" s="175" t="s">
        <v>836</v>
      </c>
      <c r="G119" s="175" t="s">
        <v>837</v>
      </c>
      <c r="H119" s="175" t="s">
        <v>637</v>
      </c>
      <c r="I119" s="176">
        <v>1331.2</v>
      </c>
      <c r="J119" s="177" t="s">
        <v>1060</v>
      </c>
      <c r="K119" s="177" t="s">
        <v>1061</v>
      </c>
      <c r="L119" s="178">
        <v>7</v>
      </c>
      <c r="M119" s="180" t="s">
        <v>190</v>
      </c>
      <c r="N119" s="180"/>
      <c r="O119" s="178"/>
      <c r="P119" s="177"/>
      <c r="Q119" s="177"/>
      <c r="R119" s="179" t="b">
        <v>1</v>
      </c>
      <c r="S119" s="177" t="s">
        <v>638</v>
      </c>
      <c r="T119" s="175"/>
    </row>
    <row r="120" spans="1:20" ht="25.5">
      <c r="A120" s="173" t="s">
        <v>970</v>
      </c>
      <c r="B120" s="174">
        <v>2022</v>
      </c>
      <c r="C120" s="174">
        <v>22</v>
      </c>
      <c r="D120" s="175" t="s">
        <v>971</v>
      </c>
      <c r="E120" s="175" t="s">
        <v>972</v>
      </c>
      <c r="F120" s="175" t="s">
        <v>973</v>
      </c>
      <c r="G120" s="175" t="s">
        <v>893</v>
      </c>
      <c r="H120" s="175" t="s">
        <v>637</v>
      </c>
      <c r="I120" s="176">
        <v>936.4</v>
      </c>
      <c r="J120" s="177" t="s">
        <v>1060</v>
      </c>
      <c r="K120" s="177" t="s">
        <v>1061</v>
      </c>
      <c r="L120" s="178">
        <v>5</v>
      </c>
      <c r="M120" s="178" t="s">
        <v>184</v>
      </c>
      <c r="N120" s="178"/>
      <c r="O120" s="178"/>
      <c r="P120" s="177"/>
      <c r="Q120" s="177"/>
      <c r="R120" s="179" t="b">
        <v>1</v>
      </c>
      <c r="S120" s="177" t="s">
        <v>638</v>
      </c>
      <c r="T120" s="175"/>
    </row>
    <row r="121" spans="1:20" ht="25.5">
      <c r="A121" s="173" t="s">
        <v>1042</v>
      </c>
      <c r="B121" s="174">
        <v>2025</v>
      </c>
      <c r="C121" s="174">
        <v>18</v>
      </c>
      <c r="D121" s="175" t="s">
        <v>1043</v>
      </c>
      <c r="E121" s="175" t="s">
        <v>1044</v>
      </c>
      <c r="F121" s="175" t="s">
        <v>1010</v>
      </c>
      <c r="G121" s="175" t="s">
        <v>1011</v>
      </c>
      <c r="H121" s="175" t="s">
        <v>637</v>
      </c>
      <c r="I121" s="176">
        <v>966.6</v>
      </c>
      <c r="J121" s="177" t="s">
        <v>1060</v>
      </c>
      <c r="K121" s="177" t="s">
        <v>1061</v>
      </c>
      <c r="L121" s="178">
        <v>6</v>
      </c>
      <c r="M121" s="178" t="s">
        <v>184</v>
      </c>
      <c r="N121" s="178"/>
      <c r="O121" s="178"/>
      <c r="P121" s="177"/>
      <c r="Q121" s="177"/>
      <c r="R121" s="179" t="b">
        <v>1</v>
      </c>
      <c r="S121" s="177" t="s">
        <v>638</v>
      </c>
      <c r="T121" s="175"/>
    </row>
    <row r="122" spans="1:20" ht="25.5">
      <c r="A122" s="173" t="s">
        <v>794</v>
      </c>
      <c r="B122" s="174">
        <v>2021</v>
      </c>
      <c r="C122" s="174">
        <v>11</v>
      </c>
      <c r="D122" s="175" t="s">
        <v>795</v>
      </c>
      <c r="E122" s="175" t="s">
        <v>796</v>
      </c>
      <c r="F122" s="175" t="s">
        <v>797</v>
      </c>
      <c r="G122" s="175" t="s">
        <v>784</v>
      </c>
      <c r="H122" s="175" t="s">
        <v>637</v>
      </c>
      <c r="I122" s="176">
        <v>1188.8</v>
      </c>
      <c r="J122" s="177" t="s">
        <v>1060</v>
      </c>
      <c r="K122" s="177" t="s">
        <v>1061</v>
      </c>
      <c r="L122" s="178">
        <v>7</v>
      </c>
      <c r="M122" s="178" t="s">
        <v>184</v>
      </c>
      <c r="N122" s="178"/>
      <c r="O122" s="178"/>
      <c r="P122" s="177"/>
      <c r="Q122" s="177"/>
      <c r="R122" s="179" t="b">
        <v>1</v>
      </c>
      <c r="S122" s="177" t="s">
        <v>638</v>
      </c>
      <c r="T122" s="175"/>
    </row>
    <row r="123" spans="1:20">
      <c r="A123" s="173" t="s">
        <v>632</v>
      </c>
      <c r="B123" s="174">
        <v>2019</v>
      </c>
      <c r="C123" s="174">
        <v>1</v>
      </c>
      <c r="D123" s="175" t="s">
        <v>633</v>
      </c>
      <c r="E123" s="175" t="s">
        <v>634</v>
      </c>
      <c r="F123" s="175" t="s">
        <v>635</v>
      </c>
      <c r="G123" s="175" t="s">
        <v>636</v>
      </c>
      <c r="H123" s="175" t="s">
        <v>637</v>
      </c>
      <c r="I123" s="176">
        <v>928.6</v>
      </c>
      <c r="J123" t="s">
        <v>1062</v>
      </c>
      <c r="K123" t="s">
        <v>1063</v>
      </c>
      <c r="M123" s="180">
        <v>2019</v>
      </c>
      <c r="N123" s="180"/>
      <c r="R123" t="b">
        <v>0</v>
      </c>
    </row>
    <row r="124" spans="1:20">
      <c r="A124" s="173" t="s">
        <v>639</v>
      </c>
      <c r="B124" s="174">
        <v>2019</v>
      </c>
      <c r="C124" s="174">
        <v>2</v>
      </c>
      <c r="D124" s="175" t="s">
        <v>640</v>
      </c>
      <c r="E124" s="175" t="s">
        <v>641</v>
      </c>
      <c r="F124" s="175" t="s">
        <v>642</v>
      </c>
      <c r="G124" s="175"/>
      <c r="H124" s="175" t="s">
        <v>637</v>
      </c>
      <c r="I124" s="176">
        <v>702.3</v>
      </c>
      <c r="J124" t="s">
        <v>1062</v>
      </c>
      <c r="K124" t="s">
        <v>1063</v>
      </c>
      <c r="M124" s="180">
        <v>2019</v>
      </c>
      <c r="N124" s="180"/>
      <c r="R124" t="b">
        <v>0</v>
      </c>
    </row>
    <row r="125" spans="1:20" ht="25.5">
      <c r="A125" s="173" t="s">
        <v>643</v>
      </c>
      <c r="B125" s="174">
        <v>2019</v>
      </c>
      <c r="C125" s="174">
        <v>3</v>
      </c>
      <c r="D125" s="175" t="s">
        <v>644</v>
      </c>
      <c r="E125" s="175" t="s">
        <v>645</v>
      </c>
      <c r="F125" s="175" t="s">
        <v>646</v>
      </c>
      <c r="G125" s="175" t="s">
        <v>647</v>
      </c>
      <c r="H125" s="175" t="s">
        <v>637</v>
      </c>
      <c r="I125" s="176">
        <v>1095.8</v>
      </c>
      <c r="J125" t="s">
        <v>1062</v>
      </c>
      <c r="K125" t="s">
        <v>1063</v>
      </c>
      <c r="L125">
        <v>1</v>
      </c>
      <c r="M125" s="180">
        <v>2019</v>
      </c>
      <c r="N125" s="180" t="b">
        <v>1</v>
      </c>
    </row>
    <row r="126" spans="1:20">
      <c r="A126" s="173" t="s">
        <v>648</v>
      </c>
      <c r="B126" s="174">
        <v>2019</v>
      </c>
      <c r="C126" s="174">
        <v>4</v>
      </c>
      <c r="D126" s="175" t="s">
        <v>649</v>
      </c>
      <c r="E126" s="175" t="s">
        <v>650</v>
      </c>
      <c r="F126" s="175" t="s">
        <v>651</v>
      </c>
      <c r="G126" s="175" t="s">
        <v>652</v>
      </c>
      <c r="H126" s="175" t="s">
        <v>637</v>
      </c>
      <c r="I126" s="176">
        <v>866</v>
      </c>
      <c r="J126" t="s">
        <v>1062</v>
      </c>
      <c r="K126" t="s">
        <v>1063</v>
      </c>
      <c r="L126">
        <v>1</v>
      </c>
      <c r="M126" s="180">
        <v>2019</v>
      </c>
      <c r="N126" s="180"/>
      <c r="R126" t="b">
        <v>1</v>
      </c>
    </row>
    <row r="127" spans="1:20">
      <c r="A127" s="173" t="s">
        <v>653</v>
      </c>
      <c r="B127" s="174">
        <v>2019</v>
      </c>
      <c r="C127" s="174">
        <v>5</v>
      </c>
      <c r="D127" s="175" t="s">
        <v>654</v>
      </c>
      <c r="E127" s="175" t="s">
        <v>655</v>
      </c>
      <c r="F127" s="175" t="s">
        <v>635</v>
      </c>
      <c r="G127" s="175" t="s">
        <v>636</v>
      </c>
      <c r="H127" s="175" t="s">
        <v>637</v>
      </c>
      <c r="I127" s="176">
        <v>1028.3</v>
      </c>
      <c r="J127" t="s">
        <v>1062</v>
      </c>
      <c r="K127" t="s">
        <v>1063</v>
      </c>
      <c r="M127" s="180">
        <v>2019</v>
      </c>
      <c r="N127" s="180"/>
      <c r="R127" t="b">
        <v>0</v>
      </c>
    </row>
    <row r="128" spans="1:20">
      <c r="A128" s="173" t="s">
        <v>656</v>
      </c>
      <c r="B128" s="174">
        <v>2019</v>
      </c>
      <c r="C128" s="174">
        <v>6</v>
      </c>
      <c r="D128" s="175" t="s">
        <v>657</v>
      </c>
      <c r="E128" s="175" t="s">
        <v>658</v>
      </c>
      <c r="F128" s="175" t="s">
        <v>659</v>
      </c>
      <c r="G128" s="175" t="s">
        <v>660</v>
      </c>
      <c r="H128" s="175" t="s">
        <v>637</v>
      </c>
      <c r="I128" s="176">
        <v>943.7</v>
      </c>
      <c r="J128" t="s">
        <v>1062</v>
      </c>
      <c r="K128" t="s">
        <v>1063</v>
      </c>
      <c r="M128" s="180">
        <v>2019</v>
      </c>
      <c r="N128" s="180"/>
      <c r="R128" t="b">
        <v>0</v>
      </c>
    </row>
    <row r="129" spans="1:18">
      <c r="A129" s="173" t="s">
        <v>661</v>
      </c>
      <c r="B129" s="174">
        <v>2019</v>
      </c>
      <c r="C129" s="174">
        <v>7</v>
      </c>
      <c r="D129" s="175" t="s">
        <v>662</v>
      </c>
      <c r="E129" s="175" t="s">
        <v>663</v>
      </c>
      <c r="F129" s="175" t="s">
        <v>664</v>
      </c>
      <c r="G129" s="175" t="s">
        <v>660</v>
      </c>
      <c r="H129" s="175" t="s">
        <v>637</v>
      </c>
      <c r="I129" s="176">
        <v>1227.3</v>
      </c>
      <c r="J129" t="s">
        <v>1062</v>
      </c>
      <c r="K129" t="s">
        <v>1063</v>
      </c>
      <c r="L129">
        <v>6</v>
      </c>
      <c r="M129" s="180">
        <v>2019</v>
      </c>
      <c r="N129" s="180"/>
      <c r="R129" t="b">
        <v>1</v>
      </c>
    </row>
    <row r="130" spans="1:18">
      <c r="A130" s="173" t="s">
        <v>665</v>
      </c>
      <c r="B130" s="174">
        <v>2019</v>
      </c>
      <c r="C130" s="174">
        <v>8</v>
      </c>
      <c r="D130" s="175" t="s">
        <v>1068</v>
      </c>
      <c r="E130" s="175" t="s">
        <v>1069</v>
      </c>
      <c r="F130" s="175" t="s">
        <v>635</v>
      </c>
      <c r="G130" s="175" t="s">
        <v>666</v>
      </c>
      <c r="H130" s="175" t="s">
        <v>637</v>
      </c>
      <c r="I130" s="176">
        <v>1208.2</v>
      </c>
      <c r="J130" t="s">
        <v>1062</v>
      </c>
      <c r="K130" t="s">
        <v>1063</v>
      </c>
      <c r="M130" s="180">
        <v>2019</v>
      </c>
      <c r="N130" s="180"/>
      <c r="R130" t="b">
        <v>0</v>
      </c>
    </row>
    <row r="131" spans="1:18" ht="25.5">
      <c r="A131" s="173" t="s">
        <v>668</v>
      </c>
      <c r="B131" s="174">
        <v>2019</v>
      </c>
      <c r="C131" s="174">
        <v>9</v>
      </c>
      <c r="D131" s="175" t="s">
        <v>669</v>
      </c>
      <c r="E131" s="175" t="s">
        <v>670</v>
      </c>
      <c r="F131" s="175" t="s">
        <v>671</v>
      </c>
      <c r="G131" s="175" t="s">
        <v>660</v>
      </c>
      <c r="H131" s="175" t="s">
        <v>637</v>
      </c>
      <c r="I131" s="176">
        <v>176.5</v>
      </c>
      <c r="J131" t="s">
        <v>1062</v>
      </c>
      <c r="K131" t="s">
        <v>1063</v>
      </c>
      <c r="L131">
        <v>2</v>
      </c>
      <c r="M131" s="180">
        <v>2019</v>
      </c>
      <c r="N131" s="180"/>
      <c r="R131" t="b">
        <v>1</v>
      </c>
    </row>
    <row r="132" spans="1:18" ht="25.5">
      <c r="A132" s="173" t="s">
        <v>672</v>
      </c>
      <c r="B132" s="174">
        <v>2019</v>
      </c>
      <c r="C132" s="174">
        <v>10</v>
      </c>
      <c r="D132" s="175" t="s">
        <v>673</v>
      </c>
      <c r="E132" s="175" t="s">
        <v>674</v>
      </c>
      <c r="F132" s="175" t="s">
        <v>671</v>
      </c>
      <c r="G132" s="175" t="s">
        <v>675</v>
      </c>
      <c r="H132" s="175" t="s">
        <v>637</v>
      </c>
      <c r="I132" s="176">
        <v>111.9</v>
      </c>
      <c r="J132" t="s">
        <v>1062</v>
      </c>
      <c r="K132" t="s">
        <v>1063</v>
      </c>
      <c r="L132">
        <v>5</v>
      </c>
      <c r="M132" s="180">
        <v>2019</v>
      </c>
      <c r="N132" s="180"/>
      <c r="R132" t="b">
        <v>1</v>
      </c>
    </row>
    <row r="133" spans="1:18" ht="25.5">
      <c r="A133" s="173" t="s">
        <v>676</v>
      </c>
      <c r="B133" s="174">
        <v>2019</v>
      </c>
      <c r="C133" s="174">
        <v>11</v>
      </c>
      <c r="D133" s="175" t="s">
        <v>677</v>
      </c>
      <c r="E133" s="175" t="s">
        <v>678</v>
      </c>
      <c r="F133" s="175" t="s">
        <v>679</v>
      </c>
      <c r="G133" s="175" t="s">
        <v>675</v>
      </c>
      <c r="H133" s="175" t="s">
        <v>637</v>
      </c>
      <c r="I133" s="176">
        <v>127.4</v>
      </c>
      <c r="J133" t="s">
        <v>1062</v>
      </c>
      <c r="K133" t="s">
        <v>1063</v>
      </c>
      <c r="L133">
        <v>3</v>
      </c>
      <c r="M133" s="180">
        <v>2019</v>
      </c>
      <c r="N133" s="180"/>
      <c r="R133" t="b">
        <v>1</v>
      </c>
    </row>
    <row r="134" spans="1:18">
      <c r="A134" s="173" t="s">
        <v>680</v>
      </c>
      <c r="B134" s="174">
        <v>2019</v>
      </c>
      <c r="C134" s="174">
        <v>12</v>
      </c>
      <c r="D134" s="175" t="s">
        <v>681</v>
      </c>
      <c r="E134" s="175" t="s">
        <v>682</v>
      </c>
      <c r="F134" s="175" t="s">
        <v>683</v>
      </c>
      <c r="G134" s="175" t="s">
        <v>666</v>
      </c>
      <c r="H134" s="175" t="s">
        <v>637</v>
      </c>
      <c r="I134" s="176">
        <v>228.9</v>
      </c>
      <c r="J134" t="s">
        <v>1062</v>
      </c>
      <c r="K134" t="s">
        <v>1063</v>
      </c>
      <c r="M134" s="180">
        <v>2019</v>
      </c>
      <c r="N134" s="180"/>
      <c r="R134" t="b">
        <v>0</v>
      </c>
    </row>
    <row r="135" spans="1:18">
      <c r="A135" s="173" t="s">
        <v>684</v>
      </c>
      <c r="B135" s="174">
        <v>2019</v>
      </c>
      <c r="C135" s="174">
        <v>13</v>
      </c>
      <c r="D135" s="175" t="s">
        <v>685</v>
      </c>
      <c r="E135" s="175" t="s">
        <v>686</v>
      </c>
      <c r="F135" s="175" t="s">
        <v>683</v>
      </c>
      <c r="G135" s="175" t="s">
        <v>666</v>
      </c>
      <c r="H135" s="175" t="s">
        <v>637</v>
      </c>
      <c r="I135" s="176">
        <v>118.5</v>
      </c>
      <c r="J135" t="s">
        <v>1062</v>
      </c>
      <c r="K135" t="s">
        <v>1063</v>
      </c>
      <c r="M135" s="180">
        <v>2019</v>
      </c>
      <c r="N135" s="180"/>
      <c r="R135" t="b">
        <v>0</v>
      </c>
    </row>
    <row r="136" spans="1:18">
      <c r="A136" s="173" t="s">
        <v>687</v>
      </c>
      <c r="B136" s="174">
        <v>2019</v>
      </c>
      <c r="C136" s="174">
        <v>14</v>
      </c>
      <c r="D136" s="175" t="s">
        <v>688</v>
      </c>
      <c r="E136" s="175" t="s">
        <v>689</v>
      </c>
      <c r="F136" s="175" t="s">
        <v>659</v>
      </c>
      <c r="G136" s="175" t="s">
        <v>660</v>
      </c>
      <c r="H136" s="175" t="s">
        <v>637</v>
      </c>
      <c r="I136" s="176">
        <v>845.1</v>
      </c>
      <c r="J136" t="s">
        <v>1062</v>
      </c>
      <c r="K136" t="s">
        <v>1063</v>
      </c>
      <c r="M136" s="180">
        <v>2019</v>
      </c>
      <c r="N136" s="180"/>
      <c r="R136" t="b">
        <v>0</v>
      </c>
    </row>
    <row r="137" spans="1:18">
      <c r="A137" s="173" t="s">
        <v>690</v>
      </c>
      <c r="B137" s="174">
        <v>2019</v>
      </c>
      <c r="C137" s="174">
        <v>15</v>
      </c>
      <c r="D137" s="175" t="s">
        <v>691</v>
      </c>
      <c r="E137" s="175" t="s">
        <v>692</v>
      </c>
      <c r="F137" s="175" t="s">
        <v>693</v>
      </c>
      <c r="G137" s="175" t="s">
        <v>660</v>
      </c>
      <c r="H137" s="175" t="s">
        <v>637</v>
      </c>
      <c r="I137" s="176">
        <v>846.8</v>
      </c>
      <c r="J137" t="s">
        <v>1062</v>
      </c>
      <c r="K137" t="s">
        <v>1063</v>
      </c>
      <c r="M137" s="180">
        <v>2019</v>
      </c>
      <c r="N137" s="180"/>
      <c r="R137" t="b">
        <v>0</v>
      </c>
    </row>
    <row r="138" spans="1:18">
      <c r="A138" s="173" t="s">
        <v>694</v>
      </c>
      <c r="B138" s="174">
        <v>2019</v>
      </c>
      <c r="C138" s="174">
        <v>16</v>
      </c>
      <c r="D138" s="175" t="s">
        <v>695</v>
      </c>
      <c r="E138" s="175" t="s">
        <v>696</v>
      </c>
      <c r="F138" s="175" t="s">
        <v>697</v>
      </c>
      <c r="G138" s="175" t="s">
        <v>666</v>
      </c>
      <c r="H138" s="175" t="s">
        <v>637</v>
      </c>
      <c r="I138" s="176">
        <v>1262.8</v>
      </c>
      <c r="J138" t="s">
        <v>1062</v>
      </c>
      <c r="K138" t="s">
        <v>1063</v>
      </c>
      <c r="M138" s="180">
        <v>2019</v>
      </c>
      <c r="N138" s="180"/>
      <c r="R138" t="b">
        <v>0</v>
      </c>
    </row>
    <row r="139" spans="1:18">
      <c r="A139" s="173" t="s">
        <v>698</v>
      </c>
      <c r="B139" s="174">
        <v>2019</v>
      </c>
      <c r="C139" s="174">
        <v>17</v>
      </c>
      <c r="D139" s="175" t="s">
        <v>699</v>
      </c>
      <c r="E139" s="175" t="s">
        <v>700</v>
      </c>
      <c r="F139" s="175" t="s">
        <v>683</v>
      </c>
      <c r="G139" s="175" t="s">
        <v>636</v>
      </c>
      <c r="H139" s="175" t="s">
        <v>637</v>
      </c>
      <c r="I139" s="176">
        <v>887.8</v>
      </c>
      <c r="J139" t="s">
        <v>1062</v>
      </c>
      <c r="K139" t="s">
        <v>1063</v>
      </c>
      <c r="M139" s="180">
        <v>2019</v>
      </c>
      <c r="N139" s="180"/>
      <c r="R139" t="b">
        <v>0</v>
      </c>
    </row>
    <row r="140" spans="1:18">
      <c r="A140" s="173" t="s">
        <v>701</v>
      </c>
      <c r="B140" s="174">
        <v>2019</v>
      </c>
      <c r="C140" s="174">
        <v>18</v>
      </c>
      <c r="D140" s="175" t="s">
        <v>702</v>
      </c>
      <c r="E140" s="175" t="s">
        <v>703</v>
      </c>
      <c r="F140" s="175" t="s">
        <v>693</v>
      </c>
      <c r="G140" s="175" t="s">
        <v>666</v>
      </c>
      <c r="H140" s="175" t="s">
        <v>637</v>
      </c>
      <c r="I140" s="176">
        <v>885.8</v>
      </c>
      <c r="J140" t="s">
        <v>1062</v>
      </c>
      <c r="K140" t="s">
        <v>1063</v>
      </c>
      <c r="L140">
        <v>9</v>
      </c>
      <c r="M140" s="180">
        <v>2019</v>
      </c>
      <c r="N140" s="180"/>
      <c r="R140" t="b">
        <v>1</v>
      </c>
    </row>
    <row r="141" spans="1:18">
      <c r="A141" s="173" t="s">
        <v>704</v>
      </c>
      <c r="B141" s="174">
        <v>2019</v>
      </c>
      <c r="C141" s="174">
        <v>19</v>
      </c>
      <c r="D141" s="175" t="s">
        <v>705</v>
      </c>
      <c r="E141" s="175" t="s">
        <v>706</v>
      </c>
      <c r="F141" s="175" t="s">
        <v>697</v>
      </c>
      <c r="G141" s="175" t="s">
        <v>666</v>
      </c>
      <c r="H141" s="175" t="s">
        <v>637</v>
      </c>
      <c r="I141" s="176">
        <v>1194.9000000000001</v>
      </c>
      <c r="J141" t="s">
        <v>1062</v>
      </c>
      <c r="K141" t="s">
        <v>1063</v>
      </c>
      <c r="L141">
        <v>7</v>
      </c>
      <c r="M141" s="180">
        <v>2019</v>
      </c>
      <c r="N141" s="180"/>
      <c r="R141" t="b">
        <v>1</v>
      </c>
    </row>
    <row r="142" spans="1:18">
      <c r="A142" s="173" t="s">
        <v>707</v>
      </c>
      <c r="B142" s="174">
        <v>2019</v>
      </c>
      <c r="C142" s="174">
        <v>20</v>
      </c>
      <c r="D142" s="175" t="s">
        <v>708</v>
      </c>
      <c r="E142" s="175" t="s">
        <v>709</v>
      </c>
      <c r="F142" s="175" t="s">
        <v>710</v>
      </c>
      <c r="G142" s="175" t="s">
        <v>636</v>
      </c>
      <c r="H142" s="175" t="s">
        <v>637</v>
      </c>
      <c r="I142" s="176">
        <v>1020.2</v>
      </c>
      <c r="J142" t="s">
        <v>1062</v>
      </c>
      <c r="K142" t="s">
        <v>1063</v>
      </c>
      <c r="M142" s="180">
        <v>2019</v>
      </c>
      <c r="N142" s="180"/>
      <c r="R142" t="b">
        <v>0</v>
      </c>
    </row>
    <row r="143" spans="1:18">
      <c r="A143" s="173" t="s">
        <v>711</v>
      </c>
      <c r="B143" s="174">
        <v>2019</v>
      </c>
      <c r="C143" s="174">
        <v>21</v>
      </c>
      <c r="D143" s="175" t="s">
        <v>712</v>
      </c>
      <c r="E143" s="175" t="s">
        <v>713</v>
      </c>
      <c r="F143" s="175" t="s">
        <v>659</v>
      </c>
      <c r="G143" s="175" t="s">
        <v>666</v>
      </c>
      <c r="H143" s="175" t="s">
        <v>637</v>
      </c>
      <c r="I143" s="176">
        <v>355.1</v>
      </c>
      <c r="J143" t="s">
        <v>1062</v>
      </c>
      <c r="K143" t="s">
        <v>1063</v>
      </c>
      <c r="L143">
        <v>8</v>
      </c>
      <c r="M143" s="180">
        <v>2019</v>
      </c>
      <c r="N143" s="180"/>
      <c r="R143" t="b">
        <v>1</v>
      </c>
    </row>
    <row r="144" spans="1:18">
      <c r="A144" s="173" t="s">
        <v>714</v>
      </c>
      <c r="B144" s="174">
        <v>2019</v>
      </c>
      <c r="C144" s="174">
        <v>22</v>
      </c>
      <c r="D144" s="175" t="s">
        <v>715</v>
      </c>
      <c r="E144" s="175" t="s">
        <v>716</v>
      </c>
      <c r="F144" s="175" t="s">
        <v>710</v>
      </c>
      <c r="G144" s="175" t="s">
        <v>666</v>
      </c>
      <c r="H144" s="175" t="s">
        <v>637</v>
      </c>
      <c r="I144" s="176">
        <v>269.89999999999998</v>
      </c>
      <c r="J144" t="s">
        <v>1062</v>
      </c>
      <c r="K144" t="s">
        <v>1063</v>
      </c>
      <c r="L144">
        <v>10</v>
      </c>
      <c r="M144" s="180">
        <v>2019</v>
      </c>
      <c r="N144" s="180"/>
      <c r="R144" t="b">
        <v>1</v>
      </c>
    </row>
    <row r="145" spans="1:18">
      <c r="A145" s="173" t="s">
        <v>717</v>
      </c>
      <c r="B145" s="174">
        <v>2019</v>
      </c>
      <c r="C145" s="174">
        <v>23</v>
      </c>
      <c r="D145" s="175" t="s">
        <v>718</v>
      </c>
      <c r="E145" s="175" t="s">
        <v>719</v>
      </c>
      <c r="F145" s="175" t="s">
        <v>683</v>
      </c>
      <c r="G145" s="175" t="s">
        <v>666</v>
      </c>
      <c r="H145" s="175" t="s">
        <v>637</v>
      </c>
      <c r="I145" s="176">
        <v>242.6</v>
      </c>
      <c r="J145" t="s">
        <v>1062</v>
      </c>
      <c r="K145" t="s">
        <v>1063</v>
      </c>
      <c r="L145">
        <v>11</v>
      </c>
      <c r="M145" s="180">
        <v>2019</v>
      </c>
      <c r="N145" s="180"/>
      <c r="R145" t="b">
        <v>1</v>
      </c>
    </row>
    <row r="146" spans="1:18">
      <c r="A146" s="173" t="s">
        <v>720</v>
      </c>
      <c r="B146" s="174">
        <v>2019</v>
      </c>
      <c r="C146" s="174">
        <v>24</v>
      </c>
      <c r="D146" s="175" t="s">
        <v>721</v>
      </c>
      <c r="E146" s="175" t="s">
        <v>722</v>
      </c>
      <c r="F146" s="175" t="s">
        <v>723</v>
      </c>
      <c r="G146" s="175" t="s">
        <v>666</v>
      </c>
      <c r="H146" s="175" t="s">
        <v>637</v>
      </c>
      <c r="I146" s="176">
        <v>446.7</v>
      </c>
      <c r="J146" t="s">
        <v>1062</v>
      </c>
      <c r="K146" t="s">
        <v>1063</v>
      </c>
      <c r="L146">
        <v>12</v>
      </c>
      <c r="M146" s="180">
        <v>2019</v>
      </c>
      <c r="N146" s="180"/>
      <c r="R146" t="b">
        <v>1</v>
      </c>
    </row>
    <row r="147" spans="1:18">
      <c r="A147" s="173" t="s">
        <v>724</v>
      </c>
      <c r="B147" s="174">
        <v>2019</v>
      </c>
      <c r="C147" s="174">
        <v>25</v>
      </c>
      <c r="D147" s="175" t="s">
        <v>725</v>
      </c>
      <c r="E147" s="175" t="s">
        <v>726</v>
      </c>
      <c r="F147" s="175" t="s">
        <v>697</v>
      </c>
      <c r="G147" s="175" t="s">
        <v>666</v>
      </c>
      <c r="H147" s="175" t="s">
        <v>637</v>
      </c>
      <c r="I147" s="176">
        <v>398.2</v>
      </c>
      <c r="J147" t="s">
        <v>1062</v>
      </c>
      <c r="K147" t="s">
        <v>1063</v>
      </c>
      <c r="M147" s="180">
        <v>2019</v>
      </c>
      <c r="N147" s="180"/>
      <c r="R147" t="b">
        <v>0</v>
      </c>
    </row>
    <row r="148" spans="1:18">
      <c r="A148" s="173" t="s">
        <v>727</v>
      </c>
      <c r="B148" s="174">
        <v>2019</v>
      </c>
      <c r="C148" s="174">
        <v>26</v>
      </c>
      <c r="D148" s="175" t="s">
        <v>728</v>
      </c>
      <c r="E148" s="175" t="s">
        <v>729</v>
      </c>
      <c r="F148" s="175" t="s">
        <v>697</v>
      </c>
      <c r="G148" s="175" t="s">
        <v>666</v>
      </c>
      <c r="H148" s="175" t="s">
        <v>637</v>
      </c>
      <c r="I148" s="176">
        <v>379</v>
      </c>
      <c r="J148" t="s">
        <v>1062</v>
      </c>
      <c r="K148" t="s">
        <v>1063</v>
      </c>
      <c r="M148" s="180">
        <v>2019</v>
      </c>
      <c r="N148" s="180"/>
      <c r="R148" t="b">
        <v>0</v>
      </c>
    </row>
    <row r="149" spans="1:18">
      <c r="A149" s="173" t="s">
        <v>730</v>
      </c>
      <c r="B149" s="174">
        <v>2019</v>
      </c>
      <c r="C149" s="174">
        <v>27</v>
      </c>
      <c r="D149" s="175" t="s">
        <v>731</v>
      </c>
      <c r="E149" s="175" t="s">
        <v>732</v>
      </c>
      <c r="F149" s="175" t="s">
        <v>693</v>
      </c>
      <c r="G149" s="175" t="s">
        <v>666</v>
      </c>
      <c r="H149" s="175" t="s">
        <v>637</v>
      </c>
      <c r="I149" s="176">
        <v>610.6</v>
      </c>
      <c r="J149" t="s">
        <v>1062</v>
      </c>
      <c r="K149" t="s">
        <v>1063</v>
      </c>
      <c r="M149" s="180">
        <v>2019</v>
      </c>
      <c r="N149" s="180"/>
      <c r="R149" t="b">
        <v>0</v>
      </c>
    </row>
    <row r="150" spans="1:18">
      <c r="A150" s="173" t="s">
        <v>733</v>
      </c>
      <c r="B150" s="174">
        <v>2019</v>
      </c>
      <c r="C150" s="174">
        <v>28</v>
      </c>
      <c r="D150" s="175" t="s">
        <v>734</v>
      </c>
      <c r="E150" s="175" t="s">
        <v>735</v>
      </c>
      <c r="F150" s="175" t="s">
        <v>723</v>
      </c>
      <c r="G150" s="175" t="s">
        <v>666</v>
      </c>
      <c r="H150" s="175" t="s">
        <v>736</v>
      </c>
      <c r="I150" s="176">
        <v>10977.6</v>
      </c>
      <c r="J150" t="s">
        <v>1062</v>
      </c>
      <c r="K150" t="s">
        <v>1063</v>
      </c>
      <c r="M150" s="180">
        <v>2019</v>
      </c>
      <c r="N150" s="180"/>
      <c r="R150" t="b">
        <v>0</v>
      </c>
    </row>
    <row r="151" spans="1:18">
      <c r="A151" s="173" t="s">
        <v>737</v>
      </c>
      <c r="B151" s="174">
        <v>2019</v>
      </c>
      <c r="C151" s="174">
        <v>29</v>
      </c>
      <c r="D151" s="175" t="s">
        <v>738</v>
      </c>
      <c r="E151" s="175" t="s">
        <v>739</v>
      </c>
      <c r="F151" s="175" t="s">
        <v>211</v>
      </c>
      <c r="G151" s="175" t="s">
        <v>666</v>
      </c>
      <c r="H151" s="175" t="s">
        <v>740</v>
      </c>
      <c r="I151" s="176">
        <v>2874</v>
      </c>
      <c r="J151" t="s">
        <v>1062</v>
      </c>
      <c r="K151" t="s">
        <v>1063</v>
      </c>
      <c r="M151" s="180">
        <v>2019</v>
      </c>
      <c r="N151" s="180"/>
      <c r="R151" t="b">
        <v>0</v>
      </c>
    </row>
    <row r="152" spans="1:18">
      <c r="A152" s="173" t="s">
        <v>741</v>
      </c>
      <c r="B152" s="174">
        <v>2019</v>
      </c>
      <c r="C152" s="174">
        <v>30</v>
      </c>
      <c r="D152" s="175" t="s">
        <v>742</v>
      </c>
      <c r="E152" s="175" t="s">
        <v>743</v>
      </c>
      <c r="F152" s="175" t="s">
        <v>744</v>
      </c>
      <c r="G152" s="175" t="s">
        <v>745</v>
      </c>
      <c r="H152" s="175" t="s">
        <v>637</v>
      </c>
      <c r="I152" s="176">
        <v>4251.3999999999996</v>
      </c>
      <c r="J152" t="s">
        <v>1062</v>
      </c>
      <c r="K152" t="s">
        <v>1063</v>
      </c>
      <c r="L152">
        <v>13</v>
      </c>
      <c r="M152" s="180">
        <v>2019</v>
      </c>
      <c r="N152" s="180"/>
      <c r="R152" t="b">
        <v>1</v>
      </c>
    </row>
    <row r="153" spans="1:18">
      <c r="A153" s="173" t="s">
        <v>746</v>
      </c>
      <c r="B153" s="174">
        <v>2019</v>
      </c>
      <c r="C153" s="174">
        <v>31</v>
      </c>
      <c r="D153" s="175" t="s">
        <v>747</v>
      </c>
      <c r="E153" s="175" t="s">
        <v>748</v>
      </c>
      <c r="F153" s="175" t="s">
        <v>749</v>
      </c>
      <c r="G153" s="175" t="s">
        <v>750</v>
      </c>
      <c r="H153" s="175" t="s">
        <v>637</v>
      </c>
      <c r="I153" s="176">
        <v>167.9</v>
      </c>
      <c r="J153" t="s">
        <v>1062</v>
      </c>
      <c r="K153" t="s">
        <v>1063</v>
      </c>
      <c r="L153">
        <v>14</v>
      </c>
      <c r="M153" s="180">
        <v>2019</v>
      </c>
      <c r="N153" s="180"/>
      <c r="R153" t="b">
        <v>1</v>
      </c>
    </row>
    <row r="154" spans="1:18" ht="25.5">
      <c r="A154" s="173" t="s">
        <v>751</v>
      </c>
      <c r="B154" s="174">
        <v>2019</v>
      </c>
      <c r="C154" s="174">
        <v>32</v>
      </c>
      <c r="D154" s="175" t="s">
        <v>752</v>
      </c>
      <c r="E154" s="175" t="s">
        <v>753</v>
      </c>
      <c r="F154" s="175" t="s">
        <v>754</v>
      </c>
      <c r="G154" s="175" t="s">
        <v>755</v>
      </c>
      <c r="H154" s="175" t="s">
        <v>637</v>
      </c>
      <c r="I154" s="176">
        <v>2933.8</v>
      </c>
      <c r="J154" t="s">
        <v>1062</v>
      </c>
      <c r="K154" t="s">
        <v>1063</v>
      </c>
      <c r="L154">
        <v>4</v>
      </c>
      <c r="M154" s="180">
        <v>2019</v>
      </c>
      <c r="N154" s="180"/>
      <c r="R154" t="b">
        <v>1</v>
      </c>
    </row>
    <row r="155" spans="1:18">
      <c r="A155" s="173" t="s">
        <v>756</v>
      </c>
      <c r="B155" s="174">
        <v>2021</v>
      </c>
      <c r="C155" s="174">
        <v>1</v>
      </c>
      <c r="D155" s="175" t="s">
        <v>757</v>
      </c>
      <c r="E155" s="175" t="s">
        <v>758</v>
      </c>
      <c r="F155" s="175" t="s">
        <v>697</v>
      </c>
      <c r="G155" s="175" t="s">
        <v>666</v>
      </c>
      <c r="H155" s="175" t="s">
        <v>637</v>
      </c>
      <c r="I155" s="176">
        <v>1455.7</v>
      </c>
      <c r="J155" t="s">
        <v>1062</v>
      </c>
      <c r="K155" t="s">
        <v>1063</v>
      </c>
      <c r="M155" s="180">
        <v>2021</v>
      </c>
      <c r="N155" s="180"/>
      <c r="R155" t="b">
        <v>0</v>
      </c>
    </row>
    <row r="156" spans="1:18" ht="25.5">
      <c r="A156" s="173" t="s">
        <v>759</v>
      </c>
      <c r="B156" s="174">
        <v>2021</v>
      </c>
      <c r="C156" s="174">
        <v>2</v>
      </c>
      <c r="D156" s="175" t="s">
        <v>760</v>
      </c>
      <c r="E156" s="175" t="s">
        <v>761</v>
      </c>
      <c r="F156" s="175" t="s">
        <v>762</v>
      </c>
      <c r="G156" s="175" t="s">
        <v>763</v>
      </c>
      <c r="H156" s="175" t="s">
        <v>637</v>
      </c>
      <c r="I156" s="176">
        <v>1562.7</v>
      </c>
      <c r="J156" t="s">
        <v>1062</v>
      </c>
      <c r="K156" t="s">
        <v>1063</v>
      </c>
      <c r="L156">
        <v>5</v>
      </c>
      <c r="M156" s="180">
        <v>2021</v>
      </c>
      <c r="N156" s="180"/>
      <c r="R156" t="b">
        <v>1</v>
      </c>
    </row>
    <row r="157" spans="1:18" ht="25.5">
      <c r="A157" s="173" t="s">
        <v>764</v>
      </c>
      <c r="B157" s="174">
        <v>2021</v>
      </c>
      <c r="C157" s="174">
        <v>3</v>
      </c>
      <c r="D157" s="175" t="s">
        <v>765</v>
      </c>
      <c r="E157" s="175" t="s">
        <v>766</v>
      </c>
      <c r="F157" s="175" t="s">
        <v>767</v>
      </c>
      <c r="G157" s="175" t="s">
        <v>763</v>
      </c>
      <c r="H157" s="175" t="s">
        <v>637</v>
      </c>
      <c r="I157" s="176">
        <v>1434.3</v>
      </c>
      <c r="J157" t="s">
        <v>1062</v>
      </c>
      <c r="K157" t="s">
        <v>1063</v>
      </c>
      <c r="M157" s="180">
        <v>2021</v>
      </c>
      <c r="N157" s="180"/>
      <c r="R157" t="b">
        <v>0</v>
      </c>
    </row>
    <row r="158" spans="1:18">
      <c r="A158" s="173" t="s">
        <v>768</v>
      </c>
      <c r="B158" s="174">
        <v>2021</v>
      </c>
      <c r="C158" s="174">
        <v>4</v>
      </c>
      <c r="D158" s="175" t="s">
        <v>769</v>
      </c>
      <c r="E158" s="175" t="s">
        <v>770</v>
      </c>
      <c r="F158" s="175" t="s">
        <v>659</v>
      </c>
      <c r="G158" s="175" t="s">
        <v>666</v>
      </c>
      <c r="H158" s="175" t="s">
        <v>637</v>
      </c>
      <c r="I158" s="176">
        <v>1393.8</v>
      </c>
      <c r="J158" t="s">
        <v>1062</v>
      </c>
      <c r="K158" t="s">
        <v>1063</v>
      </c>
      <c r="M158" s="180">
        <v>2021</v>
      </c>
      <c r="N158" s="180"/>
      <c r="R158" t="b">
        <v>0</v>
      </c>
    </row>
    <row r="159" spans="1:18">
      <c r="A159" s="173" t="s">
        <v>771</v>
      </c>
      <c r="B159" s="174">
        <v>2021</v>
      </c>
      <c r="C159" s="174">
        <v>5</v>
      </c>
      <c r="D159" s="175" t="s">
        <v>772</v>
      </c>
      <c r="E159" s="175" t="s">
        <v>773</v>
      </c>
      <c r="F159" s="175" t="s">
        <v>635</v>
      </c>
      <c r="G159" s="175" t="s">
        <v>666</v>
      </c>
      <c r="H159" s="175" t="s">
        <v>637</v>
      </c>
      <c r="I159" s="176">
        <v>1883.6</v>
      </c>
      <c r="J159" t="s">
        <v>1062</v>
      </c>
      <c r="K159" t="s">
        <v>1063</v>
      </c>
      <c r="M159" s="180">
        <v>2021</v>
      </c>
      <c r="N159" s="180"/>
      <c r="R159" t="b">
        <v>0</v>
      </c>
    </row>
    <row r="160" spans="1:18">
      <c r="A160" s="173" t="s">
        <v>774</v>
      </c>
      <c r="B160" s="174">
        <v>2021</v>
      </c>
      <c r="C160" s="174">
        <v>6</v>
      </c>
      <c r="D160" s="175" t="s">
        <v>775</v>
      </c>
      <c r="E160" s="175" t="s">
        <v>776</v>
      </c>
      <c r="F160" s="175" t="s">
        <v>693</v>
      </c>
      <c r="G160" s="175" t="s">
        <v>666</v>
      </c>
      <c r="H160" s="175" t="s">
        <v>637</v>
      </c>
      <c r="I160" s="176">
        <v>2097.1999999999998</v>
      </c>
      <c r="J160" t="s">
        <v>1062</v>
      </c>
      <c r="K160" t="s">
        <v>1063</v>
      </c>
      <c r="M160" s="180">
        <v>2021</v>
      </c>
      <c r="N160" s="180"/>
      <c r="R160" t="b">
        <v>0</v>
      </c>
    </row>
    <row r="161" spans="1:18">
      <c r="A161" s="173" t="s">
        <v>777</v>
      </c>
      <c r="B161" s="174">
        <v>2021</v>
      </c>
      <c r="C161" s="174">
        <v>7</v>
      </c>
      <c r="D161" s="175" t="s">
        <v>778</v>
      </c>
      <c r="E161" s="175" t="s">
        <v>779</v>
      </c>
      <c r="F161" s="175" t="s">
        <v>693</v>
      </c>
      <c r="G161" s="175" t="s">
        <v>666</v>
      </c>
      <c r="H161" s="175" t="s">
        <v>637</v>
      </c>
      <c r="I161" s="176">
        <v>1272.7</v>
      </c>
      <c r="J161" t="s">
        <v>1062</v>
      </c>
      <c r="K161" t="s">
        <v>1063</v>
      </c>
      <c r="M161" s="180">
        <v>2021</v>
      </c>
      <c r="N161" s="180"/>
      <c r="R161" t="b">
        <v>0</v>
      </c>
    </row>
    <row r="162" spans="1:18">
      <c r="A162" s="173" t="s">
        <v>780</v>
      </c>
      <c r="B162" s="174">
        <v>2021</v>
      </c>
      <c r="C162" s="174">
        <v>8</v>
      </c>
      <c r="D162" s="175" t="s">
        <v>781</v>
      </c>
      <c r="E162" s="175" t="s">
        <v>782</v>
      </c>
      <c r="F162" s="175" t="s">
        <v>783</v>
      </c>
      <c r="G162" s="175" t="s">
        <v>784</v>
      </c>
      <c r="H162" s="175" t="s">
        <v>637</v>
      </c>
      <c r="I162" s="176">
        <v>778.2</v>
      </c>
      <c r="J162" t="s">
        <v>1062</v>
      </c>
      <c r="K162" t="s">
        <v>1063</v>
      </c>
      <c r="L162">
        <v>7</v>
      </c>
      <c r="M162" s="180">
        <v>2021</v>
      </c>
      <c r="N162" s="180"/>
      <c r="R162" t="b">
        <v>1</v>
      </c>
    </row>
    <row r="163" spans="1:18" ht="25.5">
      <c r="A163" s="173" t="s">
        <v>785</v>
      </c>
      <c r="B163" s="174">
        <v>2021</v>
      </c>
      <c r="C163" s="174">
        <v>9</v>
      </c>
      <c r="D163" s="175" t="s">
        <v>786</v>
      </c>
      <c r="E163" s="175" t="s">
        <v>787</v>
      </c>
      <c r="F163" s="175" t="s">
        <v>788</v>
      </c>
      <c r="G163" s="175" t="s">
        <v>789</v>
      </c>
      <c r="H163" s="175" t="s">
        <v>637</v>
      </c>
      <c r="I163" s="176">
        <v>772.4</v>
      </c>
      <c r="J163" t="s">
        <v>1062</v>
      </c>
      <c r="K163" t="s">
        <v>1063</v>
      </c>
      <c r="L163">
        <v>8</v>
      </c>
      <c r="M163" s="180">
        <v>2021</v>
      </c>
      <c r="N163" s="180"/>
      <c r="R163" t="b">
        <v>1</v>
      </c>
    </row>
    <row r="164" spans="1:18">
      <c r="A164" s="173" t="s">
        <v>790</v>
      </c>
      <c r="B164" s="174">
        <v>2021</v>
      </c>
      <c r="C164" s="174">
        <v>10</v>
      </c>
      <c r="D164" s="175" t="s">
        <v>791</v>
      </c>
      <c r="E164" s="175" t="s">
        <v>792</v>
      </c>
      <c r="F164" s="175" t="s">
        <v>793</v>
      </c>
      <c r="G164" s="175" t="s">
        <v>666</v>
      </c>
      <c r="H164" s="175" t="s">
        <v>637</v>
      </c>
      <c r="I164" s="176">
        <v>954.3</v>
      </c>
      <c r="J164" t="s">
        <v>1062</v>
      </c>
      <c r="K164" t="s">
        <v>1063</v>
      </c>
      <c r="M164" s="180">
        <v>2021</v>
      </c>
      <c r="N164" s="180"/>
      <c r="R164" t="b">
        <v>0</v>
      </c>
    </row>
    <row r="165" spans="1:18" ht="25.5">
      <c r="A165" s="173" t="s">
        <v>794</v>
      </c>
      <c r="B165" s="174">
        <v>2021</v>
      </c>
      <c r="C165" s="174">
        <v>11</v>
      </c>
      <c r="D165" s="175" t="s">
        <v>795</v>
      </c>
      <c r="E165" s="175" t="s">
        <v>796</v>
      </c>
      <c r="F165" s="175" t="s">
        <v>797</v>
      </c>
      <c r="G165" s="175" t="s">
        <v>784</v>
      </c>
      <c r="H165" s="175" t="s">
        <v>637</v>
      </c>
      <c r="I165" s="176">
        <v>1188.8</v>
      </c>
      <c r="J165" t="s">
        <v>1062</v>
      </c>
      <c r="K165" t="s">
        <v>1063</v>
      </c>
      <c r="L165">
        <v>4</v>
      </c>
      <c r="M165" s="180">
        <v>2021</v>
      </c>
      <c r="N165" s="180"/>
      <c r="R165" t="b">
        <v>1</v>
      </c>
    </row>
    <row r="166" spans="1:18">
      <c r="A166" s="173" t="s">
        <v>798</v>
      </c>
      <c r="B166" s="174">
        <v>2021</v>
      </c>
      <c r="C166" s="174">
        <v>12</v>
      </c>
      <c r="D166" s="175" t="s">
        <v>799</v>
      </c>
      <c r="E166" s="175" t="s">
        <v>800</v>
      </c>
      <c r="F166" s="175" t="s">
        <v>693</v>
      </c>
      <c r="G166" s="175" t="s">
        <v>666</v>
      </c>
      <c r="H166" s="175" t="s">
        <v>637</v>
      </c>
      <c r="I166" s="176">
        <v>1461.1</v>
      </c>
      <c r="J166" t="s">
        <v>1062</v>
      </c>
      <c r="K166" t="s">
        <v>1063</v>
      </c>
      <c r="M166" s="180">
        <v>2021</v>
      </c>
      <c r="N166" s="180"/>
      <c r="R166" t="b">
        <v>0</v>
      </c>
    </row>
    <row r="167" spans="1:18">
      <c r="A167" s="173" t="s">
        <v>801</v>
      </c>
      <c r="B167" s="174">
        <v>2021</v>
      </c>
      <c r="C167" s="174">
        <v>13</v>
      </c>
      <c r="D167" s="175" t="s">
        <v>802</v>
      </c>
      <c r="E167" s="175" t="s">
        <v>803</v>
      </c>
      <c r="F167" s="175" t="s">
        <v>683</v>
      </c>
      <c r="G167" s="175" t="s">
        <v>666</v>
      </c>
      <c r="H167" s="175" t="s">
        <v>637</v>
      </c>
      <c r="I167" s="176">
        <v>977.2</v>
      </c>
      <c r="J167" t="s">
        <v>1062</v>
      </c>
      <c r="K167" t="s">
        <v>1063</v>
      </c>
      <c r="M167" s="180">
        <v>2021</v>
      </c>
      <c r="N167" s="180"/>
      <c r="R167" t="b">
        <v>0</v>
      </c>
    </row>
    <row r="168" spans="1:18">
      <c r="A168" s="173" t="s">
        <v>804</v>
      </c>
      <c r="B168" s="174">
        <v>2021</v>
      </c>
      <c r="C168" s="174">
        <v>14</v>
      </c>
      <c r="D168" s="175" t="s">
        <v>805</v>
      </c>
      <c r="E168" s="175" t="s">
        <v>806</v>
      </c>
      <c r="F168" s="175" t="s">
        <v>683</v>
      </c>
      <c r="G168" s="175" t="s">
        <v>666</v>
      </c>
      <c r="H168" s="175" t="s">
        <v>637</v>
      </c>
      <c r="I168" s="176">
        <v>1908.6</v>
      </c>
      <c r="J168" t="s">
        <v>1062</v>
      </c>
      <c r="K168" t="s">
        <v>1063</v>
      </c>
      <c r="M168" s="180">
        <v>2021</v>
      </c>
      <c r="N168" s="180"/>
      <c r="R168" t="b">
        <v>0</v>
      </c>
    </row>
    <row r="169" spans="1:18">
      <c r="A169" s="173" t="s">
        <v>807</v>
      </c>
      <c r="B169" s="174">
        <v>2021</v>
      </c>
      <c r="C169" s="174">
        <v>15</v>
      </c>
      <c r="D169" s="175" t="s">
        <v>808</v>
      </c>
      <c r="E169" s="175" t="s">
        <v>809</v>
      </c>
      <c r="F169" s="175" t="s">
        <v>697</v>
      </c>
      <c r="G169" s="175" t="s">
        <v>666</v>
      </c>
      <c r="H169" s="175" t="s">
        <v>637</v>
      </c>
      <c r="I169" s="176">
        <v>1951.8</v>
      </c>
      <c r="J169" t="s">
        <v>1062</v>
      </c>
      <c r="K169" t="s">
        <v>1063</v>
      </c>
      <c r="M169" s="180">
        <v>2021</v>
      </c>
      <c r="N169" s="180"/>
      <c r="R169" t="b">
        <v>0</v>
      </c>
    </row>
    <row r="170" spans="1:18">
      <c r="A170" s="173" t="s">
        <v>810</v>
      </c>
      <c r="B170" s="174">
        <v>2021</v>
      </c>
      <c r="C170" s="174">
        <v>16</v>
      </c>
      <c r="D170" s="175" t="s">
        <v>811</v>
      </c>
      <c r="E170" s="175" t="s">
        <v>812</v>
      </c>
      <c r="F170" s="175" t="s">
        <v>813</v>
      </c>
      <c r="G170" s="175" t="s">
        <v>666</v>
      </c>
      <c r="H170" s="175" t="s">
        <v>637</v>
      </c>
      <c r="I170" s="176">
        <v>704.9</v>
      </c>
      <c r="J170" t="s">
        <v>1062</v>
      </c>
      <c r="K170" t="s">
        <v>1063</v>
      </c>
      <c r="L170">
        <v>9</v>
      </c>
      <c r="M170" s="180">
        <v>2021</v>
      </c>
      <c r="N170" s="180"/>
      <c r="R170" t="b">
        <v>1</v>
      </c>
    </row>
    <row r="171" spans="1:18">
      <c r="A171" s="173" t="s">
        <v>814</v>
      </c>
      <c r="B171" s="174">
        <v>2021</v>
      </c>
      <c r="C171" s="174">
        <v>17</v>
      </c>
      <c r="D171" s="175" t="s">
        <v>815</v>
      </c>
      <c r="E171" s="175" t="s">
        <v>816</v>
      </c>
      <c r="F171" s="175" t="s">
        <v>813</v>
      </c>
      <c r="G171" s="175" t="s">
        <v>666</v>
      </c>
      <c r="H171" s="175" t="s">
        <v>637</v>
      </c>
      <c r="I171" s="176">
        <v>1194.7</v>
      </c>
      <c r="J171" t="s">
        <v>1062</v>
      </c>
      <c r="K171" t="s">
        <v>1063</v>
      </c>
      <c r="M171" s="180">
        <v>2021</v>
      </c>
      <c r="N171" s="180"/>
      <c r="R171" t="b">
        <v>0</v>
      </c>
    </row>
    <row r="172" spans="1:18">
      <c r="A172" s="173" t="s">
        <v>817</v>
      </c>
      <c r="B172" s="174">
        <v>2021</v>
      </c>
      <c r="C172" s="174">
        <v>18</v>
      </c>
      <c r="D172" s="175" t="s">
        <v>818</v>
      </c>
      <c r="E172" s="175" t="s">
        <v>819</v>
      </c>
      <c r="F172" s="175" t="s">
        <v>659</v>
      </c>
      <c r="G172" s="175" t="s">
        <v>666</v>
      </c>
      <c r="H172" s="175" t="s">
        <v>637</v>
      </c>
      <c r="I172" s="176">
        <v>2070.1999999999998</v>
      </c>
      <c r="J172" t="s">
        <v>1062</v>
      </c>
      <c r="K172" t="s">
        <v>1063</v>
      </c>
      <c r="M172" s="180">
        <v>2021</v>
      </c>
      <c r="N172" s="180"/>
      <c r="R172" t="b">
        <v>0</v>
      </c>
    </row>
    <row r="173" spans="1:18">
      <c r="A173" s="173" t="s">
        <v>820</v>
      </c>
      <c r="B173" s="174">
        <v>2021</v>
      </c>
      <c r="C173" s="174">
        <v>19</v>
      </c>
      <c r="D173" s="175" t="s">
        <v>821</v>
      </c>
      <c r="E173" s="175" t="s">
        <v>822</v>
      </c>
      <c r="F173" s="175" t="s">
        <v>697</v>
      </c>
      <c r="G173" s="175" t="s">
        <v>666</v>
      </c>
      <c r="H173" s="175" t="s">
        <v>637</v>
      </c>
      <c r="I173" s="176">
        <v>1358.5</v>
      </c>
      <c r="J173" t="s">
        <v>1062</v>
      </c>
      <c r="K173" t="s">
        <v>1063</v>
      </c>
      <c r="M173" s="180">
        <v>2021</v>
      </c>
      <c r="N173" s="180"/>
      <c r="R173" t="b">
        <v>0</v>
      </c>
    </row>
    <row r="174" spans="1:18">
      <c r="A174" s="173" t="s">
        <v>823</v>
      </c>
      <c r="B174" s="174">
        <v>2021</v>
      </c>
      <c r="C174" s="174">
        <v>20</v>
      </c>
      <c r="D174" s="175" t="s">
        <v>824</v>
      </c>
      <c r="E174" s="175" t="s">
        <v>825</v>
      </c>
      <c r="F174" s="175" t="s">
        <v>635</v>
      </c>
      <c r="G174" s="175" t="s">
        <v>666</v>
      </c>
      <c r="H174" s="175" t="s">
        <v>637</v>
      </c>
      <c r="I174" s="176">
        <v>1932.5</v>
      </c>
      <c r="J174" t="s">
        <v>1062</v>
      </c>
      <c r="K174" t="s">
        <v>1063</v>
      </c>
      <c r="M174" s="180">
        <v>2021</v>
      </c>
      <c r="N174" s="180"/>
      <c r="R174" t="b">
        <v>0</v>
      </c>
    </row>
    <row r="175" spans="1:18">
      <c r="A175" s="173" t="s">
        <v>826</v>
      </c>
      <c r="B175" s="174">
        <v>2021</v>
      </c>
      <c r="C175" s="174">
        <v>21</v>
      </c>
      <c r="D175" s="175" t="s">
        <v>827</v>
      </c>
      <c r="E175" s="175" t="s">
        <v>828</v>
      </c>
      <c r="F175" s="175" t="s">
        <v>693</v>
      </c>
      <c r="G175" s="175" t="s">
        <v>666</v>
      </c>
      <c r="H175" s="175" t="s">
        <v>637</v>
      </c>
      <c r="I175" s="176">
        <v>1525.7</v>
      </c>
      <c r="J175" t="s">
        <v>1062</v>
      </c>
      <c r="K175" t="s">
        <v>1063</v>
      </c>
      <c r="M175" s="180">
        <v>2021</v>
      </c>
      <c r="N175" s="180"/>
      <c r="R175" t="b">
        <v>0</v>
      </c>
    </row>
    <row r="176" spans="1:18" ht="25.5">
      <c r="A176" s="173" t="s">
        <v>829</v>
      </c>
      <c r="B176" s="174">
        <v>2021</v>
      </c>
      <c r="C176" s="174">
        <v>22</v>
      </c>
      <c r="D176" s="175" t="s">
        <v>830</v>
      </c>
      <c r="E176" s="175" t="s">
        <v>831</v>
      </c>
      <c r="F176" s="175" t="s">
        <v>832</v>
      </c>
      <c r="G176" s="175" t="s">
        <v>666</v>
      </c>
      <c r="H176" s="175" t="s">
        <v>637</v>
      </c>
      <c r="I176" s="176">
        <v>931.5</v>
      </c>
      <c r="J176" t="s">
        <v>1062</v>
      </c>
      <c r="K176" t="s">
        <v>1063</v>
      </c>
      <c r="L176">
        <v>10</v>
      </c>
      <c r="M176" s="180">
        <v>2021</v>
      </c>
      <c r="N176" s="180"/>
      <c r="R176" t="b">
        <v>1</v>
      </c>
    </row>
    <row r="177" spans="1:19">
      <c r="A177" s="173" t="s">
        <v>833</v>
      </c>
      <c r="B177" s="174">
        <v>2021</v>
      </c>
      <c r="C177" s="174">
        <v>23</v>
      </c>
      <c r="D177" s="175" t="s">
        <v>834</v>
      </c>
      <c r="E177" s="175" t="s">
        <v>835</v>
      </c>
      <c r="F177" s="175" t="s">
        <v>836</v>
      </c>
      <c r="G177" s="175" t="s">
        <v>837</v>
      </c>
      <c r="H177" s="175" t="s">
        <v>637</v>
      </c>
      <c r="I177" s="176">
        <v>1331.2</v>
      </c>
      <c r="J177" t="s">
        <v>1062</v>
      </c>
      <c r="K177" t="s">
        <v>1063</v>
      </c>
      <c r="M177" s="180">
        <v>2021</v>
      </c>
      <c r="N177" s="180"/>
      <c r="R177" t="b">
        <v>0</v>
      </c>
    </row>
    <row r="178" spans="1:19">
      <c r="A178" s="173" t="s">
        <v>838</v>
      </c>
      <c r="B178" s="174">
        <v>2021</v>
      </c>
      <c r="C178" s="174">
        <v>24</v>
      </c>
      <c r="D178" s="175" t="s">
        <v>839</v>
      </c>
      <c r="E178" s="175" t="s">
        <v>840</v>
      </c>
      <c r="F178" s="175" t="s">
        <v>767</v>
      </c>
      <c r="G178" s="175" t="s">
        <v>660</v>
      </c>
      <c r="H178" s="175" t="s">
        <v>740</v>
      </c>
      <c r="I178" s="176">
        <v>2595.5</v>
      </c>
      <c r="J178" t="s">
        <v>1062</v>
      </c>
      <c r="K178" t="s">
        <v>1063</v>
      </c>
      <c r="L178">
        <v>11</v>
      </c>
      <c r="M178" s="180">
        <v>2021</v>
      </c>
      <c r="N178" s="180"/>
      <c r="R178" t="b">
        <v>1</v>
      </c>
    </row>
    <row r="179" spans="1:19" ht="25.5">
      <c r="A179" s="173" t="s">
        <v>841</v>
      </c>
      <c r="B179" s="174">
        <v>2021</v>
      </c>
      <c r="C179" s="174">
        <v>25</v>
      </c>
      <c r="D179" s="175" t="s">
        <v>842</v>
      </c>
      <c r="E179" s="175" t="s">
        <v>843</v>
      </c>
      <c r="F179" s="175" t="s">
        <v>844</v>
      </c>
      <c r="G179" s="175" t="s">
        <v>763</v>
      </c>
      <c r="H179" s="175" t="s">
        <v>740</v>
      </c>
      <c r="I179" s="176">
        <v>2820.7</v>
      </c>
      <c r="J179" t="s">
        <v>1062</v>
      </c>
      <c r="K179" t="s">
        <v>1063</v>
      </c>
      <c r="L179">
        <v>6</v>
      </c>
      <c r="M179" s="180">
        <v>2021</v>
      </c>
      <c r="N179" s="180"/>
      <c r="R179" t="b">
        <v>1</v>
      </c>
    </row>
    <row r="180" spans="1:19" ht="25.5">
      <c r="A180" s="173" t="s">
        <v>845</v>
      </c>
      <c r="B180" s="174">
        <v>2021</v>
      </c>
      <c r="C180" s="174">
        <v>26</v>
      </c>
      <c r="D180" s="175" t="s">
        <v>846</v>
      </c>
      <c r="E180" s="175" t="s">
        <v>847</v>
      </c>
      <c r="F180" s="175" t="s">
        <v>848</v>
      </c>
      <c r="G180" s="175" t="s">
        <v>660</v>
      </c>
      <c r="H180" s="175" t="s">
        <v>637</v>
      </c>
      <c r="I180" s="176">
        <v>3575.6</v>
      </c>
      <c r="J180" t="s">
        <v>1062</v>
      </c>
      <c r="K180" t="s">
        <v>1063</v>
      </c>
      <c r="L180">
        <v>1</v>
      </c>
      <c r="M180" s="180">
        <v>2021</v>
      </c>
      <c r="N180" s="180" t="b">
        <v>1</v>
      </c>
      <c r="R180" t="b">
        <v>1</v>
      </c>
    </row>
    <row r="181" spans="1:19">
      <c r="A181" s="173" t="s">
        <v>849</v>
      </c>
      <c r="B181" s="174">
        <v>2021</v>
      </c>
      <c r="C181" s="174">
        <v>27</v>
      </c>
      <c r="D181" s="175" t="s">
        <v>850</v>
      </c>
      <c r="E181" s="175" t="s">
        <v>851</v>
      </c>
      <c r="F181" s="175" t="s">
        <v>635</v>
      </c>
      <c r="G181" s="175" t="s">
        <v>666</v>
      </c>
      <c r="H181" s="175" t="s">
        <v>637</v>
      </c>
      <c r="I181" s="176">
        <v>3010</v>
      </c>
      <c r="J181" t="s">
        <v>1062</v>
      </c>
      <c r="K181" t="s">
        <v>1063</v>
      </c>
      <c r="M181" s="180">
        <v>2021</v>
      </c>
      <c r="N181" s="180"/>
      <c r="R181" t="b">
        <v>0</v>
      </c>
    </row>
    <row r="182" spans="1:19">
      <c r="A182" s="173" t="s">
        <v>852</v>
      </c>
      <c r="B182" s="174">
        <v>2021</v>
      </c>
      <c r="C182" s="174">
        <v>28</v>
      </c>
      <c r="D182" s="175" t="s">
        <v>853</v>
      </c>
      <c r="E182" s="175" t="s">
        <v>854</v>
      </c>
      <c r="F182" s="175" t="s">
        <v>664</v>
      </c>
      <c r="G182" s="175" t="s">
        <v>666</v>
      </c>
      <c r="H182" s="175" t="s">
        <v>637</v>
      </c>
      <c r="I182" s="176">
        <v>5372.5</v>
      </c>
      <c r="J182" t="s">
        <v>1062</v>
      </c>
      <c r="K182" t="s">
        <v>1063</v>
      </c>
      <c r="M182" s="180">
        <v>2021</v>
      </c>
      <c r="N182" s="180"/>
      <c r="R182" t="b">
        <v>0</v>
      </c>
    </row>
    <row r="183" spans="1:19">
      <c r="A183" s="173" t="s">
        <v>855</v>
      </c>
      <c r="B183" s="174">
        <v>2021</v>
      </c>
      <c r="C183" s="174">
        <v>29</v>
      </c>
      <c r="D183" s="175" t="s">
        <v>856</v>
      </c>
      <c r="E183" s="175" t="s">
        <v>857</v>
      </c>
      <c r="F183" s="175" t="s">
        <v>710</v>
      </c>
      <c r="G183" s="175" t="s">
        <v>666</v>
      </c>
      <c r="H183" s="175" t="s">
        <v>637</v>
      </c>
      <c r="I183" s="176">
        <v>5030.3999999999996</v>
      </c>
      <c r="J183" t="s">
        <v>1062</v>
      </c>
      <c r="K183" t="s">
        <v>1063</v>
      </c>
      <c r="M183" s="180">
        <v>2021</v>
      </c>
      <c r="N183" s="180"/>
      <c r="R183" t="b">
        <v>0</v>
      </c>
    </row>
    <row r="184" spans="1:19">
      <c r="A184" s="173" t="s">
        <v>858</v>
      </c>
      <c r="B184" s="174">
        <v>2021</v>
      </c>
      <c r="C184" s="174">
        <v>30</v>
      </c>
      <c r="D184" s="175" t="s">
        <v>859</v>
      </c>
      <c r="E184" s="175" t="s">
        <v>860</v>
      </c>
      <c r="F184" s="175" t="s">
        <v>749</v>
      </c>
      <c r="G184" s="175" t="s">
        <v>666</v>
      </c>
      <c r="H184" s="175" t="s">
        <v>637</v>
      </c>
      <c r="I184" s="176">
        <v>6384.5</v>
      </c>
      <c r="J184" t="s">
        <v>1062</v>
      </c>
      <c r="K184" t="s">
        <v>1063</v>
      </c>
      <c r="M184" s="180">
        <v>2021</v>
      </c>
      <c r="N184" s="180"/>
      <c r="R184" t="b">
        <v>0</v>
      </c>
    </row>
    <row r="185" spans="1:19" ht="25.5">
      <c r="A185" s="173" t="s">
        <v>861</v>
      </c>
      <c r="B185" s="174">
        <v>2021</v>
      </c>
      <c r="C185" s="174">
        <v>31</v>
      </c>
      <c r="D185" s="175" t="s">
        <v>862</v>
      </c>
      <c r="E185" s="175" t="s">
        <v>863</v>
      </c>
      <c r="F185" s="175" t="s">
        <v>864</v>
      </c>
      <c r="G185" s="175" t="s">
        <v>865</v>
      </c>
      <c r="H185" s="175" t="s">
        <v>637</v>
      </c>
      <c r="I185" s="176">
        <v>4084.1</v>
      </c>
      <c r="J185" t="s">
        <v>1062</v>
      </c>
      <c r="K185" t="s">
        <v>1063</v>
      </c>
      <c r="L185">
        <v>2</v>
      </c>
      <c r="M185" s="180">
        <v>2021</v>
      </c>
      <c r="N185" s="180"/>
      <c r="R185" t="b">
        <v>1</v>
      </c>
    </row>
    <row r="186" spans="1:19" ht="25.5">
      <c r="A186" s="173" t="s">
        <v>866</v>
      </c>
      <c r="B186" s="174">
        <v>2021</v>
      </c>
      <c r="C186" s="174">
        <v>32</v>
      </c>
      <c r="D186" s="175" t="s">
        <v>867</v>
      </c>
      <c r="E186" s="175" t="s">
        <v>868</v>
      </c>
      <c r="F186" s="175" t="s">
        <v>693</v>
      </c>
      <c r="G186" s="175" t="s">
        <v>869</v>
      </c>
      <c r="H186" s="175" t="s">
        <v>736</v>
      </c>
      <c r="I186" s="176">
        <v>10124.700000000001</v>
      </c>
      <c r="J186" t="s">
        <v>1062</v>
      </c>
      <c r="K186" t="s">
        <v>1063</v>
      </c>
      <c r="L186">
        <v>3</v>
      </c>
      <c r="M186" s="180">
        <v>2021</v>
      </c>
      <c r="N186" s="180"/>
      <c r="R186" t="b">
        <v>1</v>
      </c>
    </row>
    <row r="187" spans="1:19">
      <c r="A187" s="173" t="s">
        <v>870</v>
      </c>
      <c r="B187" s="174">
        <v>2021</v>
      </c>
      <c r="C187" s="174">
        <v>33</v>
      </c>
      <c r="D187" s="175" t="s">
        <v>871</v>
      </c>
      <c r="E187" s="175" t="s">
        <v>872</v>
      </c>
      <c r="F187" s="175" t="s">
        <v>873</v>
      </c>
      <c r="G187" s="175" t="s">
        <v>750</v>
      </c>
      <c r="H187" s="175" t="s">
        <v>736</v>
      </c>
      <c r="I187" s="176">
        <v>9986.2000000000007</v>
      </c>
      <c r="J187" t="s">
        <v>1062</v>
      </c>
      <c r="K187" t="s">
        <v>1063</v>
      </c>
      <c r="L187">
        <v>12</v>
      </c>
      <c r="M187" s="180">
        <v>2021</v>
      </c>
      <c r="N187" s="180"/>
      <c r="R187" t="b">
        <v>1</v>
      </c>
      <c r="S187" t="s">
        <v>1065</v>
      </c>
    </row>
    <row r="188" spans="1:19">
      <c r="A188" s="173" t="s">
        <v>874</v>
      </c>
      <c r="B188" s="174">
        <v>2021</v>
      </c>
      <c r="C188" s="174">
        <v>34</v>
      </c>
      <c r="D188" s="175" t="s">
        <v>875</v>
      </c>
      <c r="E188" s="175" t="s">
        <v>876</v>
      </c>
      <c r="F188" s="175" t="s">
        <v>723</v>
      </c>
      <c r="G188" s="175" t="s">
        <v>666</v>
      </c>
      <c r="H188" s="175" t="s">
        <v>736</v>
      </c>
      <c r="I188" s="176">
        <v>12063.9</v>
      </c>
      <c r="J188" t="s">
        <v>1062</v>
      </c>
      <c r="K188" t="s">
        <v>1063</v>
      </c>
      <c r="M188" s="180">
        <v>2021</v>
      </c>
      <c r="N188" s="180"/>
      <c r="R188" t="b">
        <v>0</v>
      </c>
    </row>
    <row r="189" spans="1:19">
      <c r="A189" s="173" t="s">
        <v>877</v>
      </c>
      <c r="B189" s="174">
        <v>2021</v>
      </c>
      <c r="C189" s="174">
        <v>35</v>
      </c>
      <c r="D189" s="175" t="s">
        <v>878</v>
      </c>
      <c r="E189" s="175" t="s">
        <v>879</v>
      </c>
      <c r="F189" s="175" t="s">
        <v>683</v>
      </c>
      <c r="G189" s="175" t="s">
        <v>666</v>
      </c>
      <c r="H189" s="175" t="s">
        <v>736</v>
      </c>
      <c r="I189" s="176">
        <v>6486.8</v>
      </c>
      <c r="J189" t="s">
        <v>1062</v>
      </c>
      <c r="K189" t="s">
        <v>1063</v>
      </c>
      <c r="M189" s="180">
        <v>2021</v>
      </c>
      <c r="N189" s="180"/>
      <c r="R189" t="b">
        <v>0</v>
      </c>
    </row>
    <row r="190" spans="1:19">
      <c r="A190" s="173" t="s">
        <v>880</v>
      </c>
      <c r="B190" s="174">
        <v>2021</v>
      </c>
      <c r="C190" s="174">
        <v>36</v>
      </c>
      <c r="D190" s="175" t="s">
        <v>881</v>
      </c>
      <c r="E190" s="175" t="s">
        <v>882</v>
      </c>
      <c r="F190" s="175" t="s">
        <v>683</v>
      </c>
      <c r="G190" s="175" t="s">
        <v>883</v>
      </c>
      <c r="H190" s="175" t="s">
        <v>637</v>
      </c>
      <c r="I190" s="176">
        <v>533.70000000000005</v>
      </c>
      <c r="J190" t="s">
        <v>1062</v>
      </c>
      <c r="K190" t="s">
        <v>1063</v>
      </c>
      <c r="M190" s="180">
        <v>2021</v>
      </c>
      <c r="N190" s="180"/>
      <c r="R190" t="b">
        <v>0</v>
      </c>
    </row>
    <row r="191" spans="1:19">
      <c r="A191" s="173" t="s">
        <v>884</v>
      </c>
      <c r="B191" s="174">
        <v>2022</v>
      </c>
      <c r="C191" s="174">
        <v>1</v>
      </c>
      <c r="D191" s="175" t="s">
        <v>885</v>
      </c>
      <c r="E191" s="175" t="s">
        <v>886</v>
      </c>
      <c r="F191" s="175" t="s">
        <v>887</v>
      </c>
      <c r="G191" s="175" t="s">
        <v>888</v>
      </c>
      <c r="H191" s="175" t="s">
        <v>637</v>
      </c>
      <c r="I191" s="176">
        <v>798.1</v>
      </c>
      <c r="J191" t="s">
        <v>1062</v>
      </c>
      <c r="K191" t="s">
        <v>1063</v>
      </c>
      <c r="M191" s="180">
        <v>2022</v>
      </c>
      <c r="N191" s="180"/>
      <c r="R191" t="b">
        <v>0</v>
      </c>
    </row>
    <row r="192" spans="1:19">
      <c r="A192" s="173" t="s">
        <v>889</v>
      </c>
      <c r="B192" s="174">
        <v>2022</v>
      </c>
      <c r="C192" s="174">
        <v>2</v>
      </c>
      <c r="D192" s="175" t="s">
        <v>890</v>
      </c>
      <c r="E192" s="175" t="s">
        <v>891</v>
      </c>
      <c r="F192" s="175" t="s">
        <v>892</v>
      </c>
      <c r="G192" s="175" t="s">
        <v>893</v>
      </c>
      <c r="H192" s="175" t="s">
        <v>637</v>
      </c>
      <c r="I192" s="176">
        <v>852.8</v>
      </c>
      <c r="J192" t="s">
        <v>1062</v>
      </c>
      <c r="K192" t="s">
        <v>1063</v>
      </c>
      <c r="M192" s="180">
        <v>2022</v>
      </c>
      <c r="N192" s="180"/>
      <c r="R192" t="b">
        <v>0</v>
      </c>
    </row>
    <row r="193" spans="1:18">
      <c r="A193" s="173" t="s">
        <v>894</v>
      </c>
      <c r="B193" s="174">
        <v>2022</v>
      </c>
      <c r="C193" s="174">
        <v>3</v>
      </c>
      <c r="D193" s="175" t="s">
        <v>895</v>
      </c>
      <c r="E193" s="175" t="s">
        <v>896</v>
      </c>
      <c r="F193" s="175" t="s">
        <v>897</v>
      </c>
      <c r="G193" s="175"/>
      <c r="H193" s="175" t="s">
        <v>637</v>
      </c>
      <c r="I193" s="176">
        <v>1160</v>
      </c>
      <c r="J193" t="s">
        <v>1062</v>
      </c>
      <c r="K193" t="s">
        <v>1063</v>
      </c>
      <c r="M193" s="180">
        <v>2022</v>
      </c>
      <c r="N193" s="180"/>
      <c r="R193" t="b">
        <v>0</v>
      </c>
    </row>
    <row r="194" spans="1:18">
      <c r="A194" s="173" t="s">
        <v>898</v>
      </c>
      <c r="B194" s="174">
        <v>2022</v>
      </c>
      <c r="C194" s="174">
        <v>4</v>
      </c>
      <c r="D194" s="175" t="s">
        <v>899</v>
      </c>
      <c r="E194" s="175" t="s">
        <v>900</v>
      </c>
      <c r="F194" s="175" t="s">
        <v>901</v>
      </c>
      <c r="G194" s="175"/>
      <c r="H194" s="175" t="s">
        <v>637</v>
      </c>
      <c r="I194" s="176">
        <v>1293.9000000000001</v>
      </c>
      <c r="J194" t="s">
        <v>1062</v>
      </c>
      <c r="K194" t="s">
        <v>1063</v>
      </c>
      <c r="M194" s="180">
        <v>2022</v>
      </c>
      <c r="N194" s="180"/>
      <c r="R194" t="b">
        <v>0</v>
      </c>
    </row>
    <row r="195" spans="1:18" ht="25.5">
      <c r="A195" s="173" t="s">
        <v>902</v>
      </c>
      <c r="B195" s="174">
        <v>2022</v>
      </c>
      <c r="C195" s="174">
        <v>5</v>
      </c>
      <c r="D195" s="175" t="s">
        <v>903</v>
      </c>
      <c r="E195" s="175" t="s">
        <v>904</v>
      </c>
      <c r="F195" s="175" t="s">
        <v>905</v>
      </c>
      <c r="G195" s="175" t="s">
        <v>906</v>
      </c>
      <c r="H195" s="175" t="s">
        <v>637</v>
      </c>
      <c r="I195" s="176">
        <v>1045</v>
      </c>
      <c r="J195" t="s">
        <v>1062</v>
      </c>
      <c r="K195" t="s">
        <v>1063</v>
      </c>
      <c r="L195">
        <v>10</v>
      </c>
      <c r="M195" s="180">
        <v>2022</v>
      </c>
      <c r="N195" s="180"/>
      <c r="R195" t="b">
        <v>1</v>
      </c>
    </row>
    <row r="196" spans="1:18">
      <c r="A196" s="173" t="s">
        <v>907</v>
      </c>
      <c r="B196" s="174">
        <v>2022</v>
      </c>
      <c r="C196" s="174">
        <v>6</v>
      </c>
      <c r="D196" s="175" t="s">
        <v>908</v>
      </c>
      <c r="E196" s="175" t="s">
        <v>909</v>
      </c>
      <c r="F196" s="175" t="s">
        <v>910</v>
      </c>
      <c r="G196" s="175" t="s">
        <v>893</v>
      </c>
      <c r="H196" s="175" t="s">
        <v>637</v>
      </c>
      <c r="I196" s="176">
        <v>917.8</v>
      </c>
      <c r="J196" t="s">
        <v>1062</v>
      </c>
      <c r="K196" t="s">
        <v>1063</v>
      </c>
      <c r="M196" s="180">
        <v>2022</v>
      </c>
      <c r="N196" s="180"/>
      <c r="R196" t="b">
        <v>0</v>
      </c>
    </row>
    <row r="197" spans="1:18" ht="25.5">
      <c r="A197" s="173" t="s">
        <v>911</v>
      </c>
      <c r="B197" s="174">
        <v>2022</v>
      </c>
      <c r="C197" s="174">
        <v>7</v>
      </c>
      <c r="D197" s="175" t="s">
        <v>1050</v>
      </c>
      <c r="E197" s="175" t="s">
        <v>1051</v>
      </c>
      <c r="F197" s="175" t="s">
        <v>1049</v>
      </c>
      <c r="G197" s="175" t="s">
        <v>912</v>
      </c>
      <c r="H197" s="175" t="s">
        <v>637</v>
      </c>
      <c r="I197" s="176">
        <v>454.3</v>
      </c>
      <c r="J197" t="s">
        <v>1062</v>
      </c>
      <c r="K197" t="s">
        <v>1063</v>
      </c>
      <c r="L197">
        <v>9</v>
      </c>
      <c r="M197" s="180">
        <v>2022</v>
      </c>
      <c r="N197" s="180"/>
      <c r="R197" t="b">
        <v>1</v>
      </c>
    </row>
    <row r="198" spans="1:18">
      <c r="A198" s="173" t="s">
        <v>913</v>
      </c>
      <c r="B198" s="174">
        <v>2022</v>
      </c>
      <c r="C198" s="174">
        <v>8</v>
      </c>
      <c r="D198" s="175" t="s">
        <v>914</v>
      </c>
      <c r="E198" s="175" t="s">
        <v>915</v>
      </c>
      <c r="F198" s="175" t="s">
        <v>693</v>
      </c>
      <c r="G198" s="175" t="s">
        <v>916</v>
      </c>
      <c r="H198" s="175" t="s">
        <v>637</v>
      </c>
      <c r="I198" s="176">
        <v>1213.7</v>
      </c>
      <c r="J198" t="s">
        <v>1062</v>
      </c>
      <c r="K198" t="s">
        <v>1063</v>
      </c>
      <c r="M198" s="180">
        <v>2022</v>
      </c>
      <c r="N198" s="180"/>
      <c r="R198" t="b">
        <v>0</v>
      </c>
    </row>
    <row r="199" spans="1:18">
      <c r="A199" s="173" t="s">
        <v>917</v>
      </c>
      <c r="B199" s="174">
        <v>2022</v>
      </c>
      <c r="C199" s="174">
        <v>9</v>
      </c>
      <c r="D199" s="175" t="s">
        <v>918</v>
      </c>
      <c r="E199" s="175" t="s">
        <v>919</v>
      </c>
      <c r="F199" s="175" t="s">
        <v>920</v>
      </c>
      <c r="G199" s="175" t="s">
        <v>666</v>
      </c>
      <c r="H199" s="175" t="s">
        <v>637</v>
      </c>
      <c r="I199" s="176">
        <v>807.5</v>
      </c>
      <c r="J199" t="s">
        <v>1062</v>
      </c>
      <c r="K199" t="s">
        <v>1063</v>
      </c>
      <c r="M199" s="180">
        <v>2022</v>
      </c>
      <c r="N199" s="180"/>
      <c r="R199" t="b">
        <v>0</v>
      </c>
    </row>
    <row r="200" spans="1:18">
      <c r="A200" s="173" t="s">
        <v>921</v>
      </c>
      <c r="B200" s="174">
        <v>2022</v>
      </c>
      <c r="C200" s="174">
        <v>10</v>
      </c>
      <c r="D200" s="175" t="s">
        <v>922</v>
      </c>
      <c r="E200" s="175" t="s">
        <v>923</v>
      </c>
      <c r="F200" s="175" t="s">
        <v>745</v>
      </c>
      <c r="G200" s="175"/>
      <c r="H200" s="175" t="s">
        <v>637</v>
      </c>
      <c r="I200" s="176">
        <v>1313.9</v>
      </c>
      <c r="J200" t="s">
        <v>1062</v>
      </c>
      <c r="K200" t="s">
        <v>1063</v>
      </c>
      <c r="M200" s="180">
        <v>2022</v>
      </c>
      <c r="N200" s="180"/>
      <c r="R200" t="b">
        <v>0</v>
      </c>
    </row>
    <row r="201" spans="1:18">
      <c r="A201" s="173" t="s">
        <v>924</v>
      </c>
      <c r="B201" s="174">
        <v>2022</v>
      </c>
      <c r="C201" s="174">
        <v>11</v>
      </c>
      <c r="D201" s="175" t="s">
        <v>925</v>
      </c>
      <c r="E201" s="175" t="s">
        <v>926</v>
      </c>
      <c r="F201" s="175" t="s">
        <v>927</v>
      </c>
      <c r="G201" s="175" t="s">
        <v>888</v>
      </c>
      <c r="H201" s="175" t="s">
        <v>637</v>
      </c>
      <c r="I201" s="176">
        <v>834.2</v>
      </c>
      <c r="J201" t="s">
        <v>1062</v>
      </c>
      <c r="K201" t="s">
        <v>1063</v>
      </c>
      <c r="M201" s="180">
        <v>2022</v>
      </c>
      <c r="N201" s="180"/>
      <c r="R201" t="b">
        <v>0</v>
      </c>
    </row>
    <row r="202" spans="1:18">
      <c r="A202" s="173" t="s">
        <v>928</v>
      </c>
      <c r="B202" s="174">
        <v>2022</v>
      </c>
      <c r="C202" s="174">
        <v>12</v>
      </c>
      <c r="D202" s="175" t="s">
        <v>929</v>
      </c>
      <c r="E202" s="175" t="s">
        <v>930</v>
      </c>
      <c r="F202" s="175" t="s">
        <v>931</v>
      </c>
      <c r="G202" s="175" t="s">
        <v>932</v>
      </c>
      <c r="H202" s="175" t="s">
        <v>637</v>
      </c>
      <c r="I202" s="176">
        <v>839.3</v>
      </c>
      <c r="J202" t="s">
        <v>1062</v>
      </c>
      <c r="K202" t="s">
        <v>1063</v>
      </c>
      <c r="M202" s="180">
        <v>2022</v>
      </c>
      <c r="N202" s="180"/>
      <c r="R202" t="b">
        <v>0</v>
      </c>
    </row>
    <row r="203" spans="1:18" ht="25.5">
      <c r="A203" s="173" t="s">
        <v>933</v>
      </c>
      <c r="B203" s="174">
        <v>2022</v>
      </c>
      <c r="C203" s="174">
        <v>13</v>
      </c>
      <c r="D203" s="175" t="s">
        <v>934</v>
      </c>
      <c r="E203" s="175" t="s">
        <v>935</v>
      </c>
      <c r="F203" s="175" t="s">
        <v>936</v>
      </c>
      <c r="G203" s="175" t="s">
        <v>937</v>
      </c>
      <c r="H203" s="175" t="s">
        <v>637</v>
      </c>
      <c r="I203" s="176">
        <v>943.6</v>
      </c>
      <c r="J203" t="s">
        <v>1062</v>
      </c>
      <c r="K203" t="s">
        <v>1063</v>
      </c>
      <c r="L203">
        <v>8</v>
      </c>
      <c r="M203" s="180">
        <v>2022</v>
      </c>
      <c r="N203" s="180"/>
      <c r="R203" t="b">
        <v>1</v>
      </c>
    </row>
    <row r="204" spans="1:18" ht="25.5">
      <c r="A204" s="173" t="s">
        <v>938</v>
      </c>
      <c r="B204" s="174">
        <v>2022</v>
      </c>
      <c r="C204" s="174">
        <v>14</v>
      </c>
      <c r="D204" s="175" t="s">
        <v>939</v>
      </c>
      <c r="E204" s="175" t="s">
        <v>940</v>
      </c>
      <c r="F204" s="175" t="s">
        <v>941</v>
      </c>
      <c r="G204" s="175" t="s">
        <v>937</v>
      </c>
      <c r="H204" s="175" t="s">
        <v>637</v>
      </c>
      <c r="I204" s="176">
        <v>910.3</v>
      </c>
      <c r="J204" t="s">
        <v>1062</v>
      </c>
      <c r="K204" t="s">
        <v>1063</v>
      </c>
      <c r="L204">
        <v>7</v>
      </c>
      <c r="M204" s="180">
        <v>2022</v>
      </c>
      <c r="N204" s="180"/>
      <c r="R204" t="b">
        <v>1</v>
      </c>
    </row>
    <row r="205" spans="1:18" ht="25.5">
      <c r="A205" s="173" t="s">
        <v>942</v>
      </c>
      <c r="B205" s="174">
        <v>2022</v>
      </c>
      <c r="C205" s="174">
        <v>15</v>
      </c>
      <c r="D205" s="175" t="s">
        <v>943</v>
      </c>
      <c r="E205" s="175" t="s">
        <v>944</v>
      </c>
      <c r="F205" s="175" t="s">
        <v>945</v>
      </c>
      <c r="G205" s="175" t="s">
        <v>937</v>
      </c>
      <c r="H205" s="175" t="s">
        <v>637</v>
      </c>
      <c r="I205" s="176">
        <v>890.6</v>
      </c>
      <c r="J205" t="s">
        <v>1062</v>
      </c>
      <c r="K205" t="s">
        <v>1063</v>
      </c>
      <c r="M205" s="180">
        <v>2022</v>
      </c>
      <c r="N205" s="180"/>
      <c r="R205" t="b">
        <v>0</v>
      </c>
    </row>
    <row r="206" spans="1:18" ht="38.25">
      <c r="A206" s="173" t="s">
        <v>946</v>
      </c>
      <c r="B206" s="174">
        <v>2022</v>
      </c>
      <c r="C206" s="174">
        <v>16</v>
      </c>
      <c r="D206" s="175" t="s">
        <v>947</v>
      </c>
      <c r="E206" s="175" t="s">
        <v>948</v>
      </c>
      <c r="F206" s="175" t="s">
        <v>945</v>
      </c>
      <c r="G206" s="175" t="s">
        <v>949</v>
      </c>
      <c r="H206" s="175" t="s">
        <v>637</v>
      </c>
      <c r="I206" s="176">
        <v>878.3</v>
      </c>
      <c r="J206" t="s">
        <v>1062</v>
      </c>
      <c r="K206" t="s">
        <v>1063</v>
      </c>
      <c r="M206" s="180">
        <v>2022</v>
      </c>
      <c r="N206" s="180"/>
      <c r="R206" t="b">
        <v>0</v>
      </c>
    </row>
    <row r="207" spans="1:18" ht="25.5">
      <c r="A207" s="173" t="s">
        <v>950</v>
      </c>
      <c r="B207" s="174">
        <v>2022</v>
      </c>
      <c r="C207" s="174">
        <v>17</v>
      </c>
      <c r="D207" s="175" t="s">
        <v>951</v>
      </c>
      <c r="E207" s="175" t="s">
        <v>952</v>
      </c>
      <c r="F207" s="175" t="s">
        <v>945</v>
      </c>
      <c r="G207" s="175" t="s">
        <v>953</v>
      </c>
      <c r="H207" s="175" t="s">
        <v>637</v>
      </c>
      <c r="I207" s="176">
        <v>1231.8</v>
      </c>
      <c r="J207" t="s">
        <v>1062</v>
      </c>
      <c r="K207" t="s">
        <v>1063</v>
      </c>
      <c r="L207">
        <v>1</v>
      </c>
      <c r="M207" s="180">
        <v>2022</v>
      </c>
      <c r="N207" s="180" t="b">
        <v>1</v>
      </c>
      <c r="R207" t="b">
        <v>1</v>
      </c>
    </row>
    <row r="208" spans="1:18" ht="25.5">
      <c r="A208" s="173" t="s">
        <v>954</v>
      </c>
      <c r="B208" s="174">
        <v>2022</v>
      </c>
      <c r="C208" s="174">
        <v>17</v>
      </c>
      <c r="D208" s="175" t="s">
        <v>955</v>
      </c>
      <c r="E208" s="175" t="s">
        <v>956</v>
      </c>
      <c r="F208" s="175" t="s">
        <v>945</v>
      </c>
      <c r="G208" s="175" t="s">
        <v>957</v>
      </c>
      <c r="H208" s="175" t="s">
        <v>637</v>
      </c>
      <c r="I208" s="176">
        <v>1147.7</v>
      </c>
      <c r="J208" t="s">
        <v>1062</v>
      </c>
      <c r="K208" t="s">
        <v>1063</v>
      </c>
      <c r="L208">
        <v>2</v>
      </c>
      <c r="M208" s="180">
        <v>2022</v>
      </c>
      <c r="N208" s="180"/>
      <c r="R208" t="b">
        <v>1</v>
      </c>
    </row>
    <row r="209" spans="1:19" ht="25.5">
      <c r="A209" s="173" t="s">
        <v>958</v>
      </c>
      <c r="B209" s="174">
        <v>2022</v>
      </c>
      <c r="C209" s="174">
        <v>18</v>
      </c>
      <c r="D209" s="175" t="s">
        <v>959</v>
      </c>
      <c r="E209" s="175" t="s">
        <v>960</v>
      </c>
      <c r="F209" s="175" t="s">
        <v>936</v>
      </c>
      <c r="G209" s="175" t="s">
        <v>953</v>
      </c>
      <c r="H209" s="175" t="s">
        <v>637</v>
      </c>
      <c r="I209" s="176">
        <v>1130.8</v>
      </c>
      <c r="J209" t="s">
        <v>1062</v>
      </c>
      <c r="K209" t="s">
        <v>1063</v>
      </c>
      <c r="L209">
        <v>3</v>
      </c>
      <c r="M209" s="180">
        <v>2022</v>
      </c>
      <c r="N209" s="180"/>
      <c r="R209" t="b">
        <v>1</v>
      </c>
    </row>
    <row r="210" spans="1:19" ht="25.5">
      <c r="A210" s="173" t="s">
        <v>961</v>
      </c>
      <c r="B210" s="174">
        <v>2022</v>
      </c>
      <c r="C210" s="174">
        <v>19</v>
      </c>
      <c r="D210" s="175" t="s">
        <v>962</v>
      </c>
      <c r="E210" s="175" t="s">
        <v>963</v>
      </c>
      <c r="F210" s="175" t="s">
        <v>941</v>
      </c>
      <c r="G210" s="175" t="s">
        <v>953</v>
      </c>
      <c r="H210" s="175" t="s">
        <v>637</v>
      </c>
      <c r="I210" s="176">
        <v>1175.2</v>
      </c>
      <c r="J210" t="s">
        <v>1062</v>
      </c>
      <c r="K210" t="s">
        <v>1063</v>
      </c>
      <c r="L210">
        <v>4</v>
      </c>
      <c r="M210" s="180">
        <v>2022</v>
      </c>
      <c r="N210" s="180"/>
      <c r="R210" t="b">
        <v>1</v>
      </c>
    </row>
    <row r="211" spans="1:19">
      <c r="A211" s="173" t="s">
        <v>964</v>
      </c>
      <c r="B211" s="174">
        <v>2022</v>
      </c>
      <c r="C211" s="174">
        <v>20</v>
      </c>
      <c r="D211" s="175" t="s">
        <v>965</v>
      </c>
      <c r="E211" s="175" t="s">
        <v>966</v>
      </c>
      <c r="F211" s="175" t="s">
        <v>723</v>
      </c>
      <c r="G211" s="175" t="s">
        <v>893</v>
      </c>
      <c r="H211" s="175" t="s">
        <v>637</v>
      </c>
      <c r="I211" s="176">
        <v>1287.5</v>
      </c>
      <c r="J211" t="s">
        <v>1062</v>
      </c>
      <c r="K211" t="s">
        <v>1063</v>
      </c>
      <c r="M211" s="180">
        <v>2022</v>
      </c>
      <c r="N211" s="180"/>
      <c r="R211" t="b">
        <v>0</v>
      </c>
    </row>
    <row r="212" spans="1:19">
      <c r="A212" s="173" t="s">
        <v>967</v>
      </c>
      <c r="B212" s="174">
        <v>2022</v>
      </c>
      <c r="C212" s="174">
        <v>21</v>
      </c>
      <c r="D212" s="175" t="s">
        <v>968</v>
      </c>
      <c r="E212" s="175" t="s">
        <v>969</v>
      </c>
      <c r="F212" s="175" t="s">
        <v>723</v>
      </c>
      <c r="G212" s="175" t="s">
        <v>893</v>
      </c>
      <c r="H212" s="175" t="s">
        <v>637</v>
      </c>
      <c r="I212" s="176">
        <v>1280</v>
      </c>
      <c r="J212" t="s">
        <v>1062</v>
      </c>
      <c r="K212" t="s">
        <v>1063</v>
      </c>
      <c r="M212" s="180">
        <v>2022</v>
      </c>
      <c r="N212" s="180"/>
      <c r="R212" t="b">
        <v>0</v>
      </c>
    </row>
    <row r="213" spans="1:19" ht="25.5">
      <c r="A213" s="173" t="s">
        <v>970</v>
      </c>
      <c r="B213" s="174">
        <v>2022</v>
      </c>
      <c r="C213" s="174">
        <v>22</v>
      </c>
      <c r="D213" s="175" t="s">
        <v>971</v>
      </c>
      <c r="E213" s="175" t="s">
        <v>972</v>
      </c>
      <c r="F213" s="175" t="s">
        <v>973</v>
      </c>
      <c r="G213" s="175" t="s">
        <v>893</v>
      </c>
      <c r="H213" s="175" t="s">
        <v>637</v>
      </c>
      <c r="I213" s="176">
        <v>936.4</v>
      </c>
      <c r="J213" t="s">
        <v>1062</v>
      </c>
      <c r="K213" t="s">
        <v>1063</v>
      </c>
      <c r="L213">
        <v>5</v>
      </c>
      <c r="M213" s="180">
        <v>2022</v>
      </c>
      <c r="N213" s="180"/>
      <c r="R213" t="b">
        <v>1</v>
      </c>
    </row>
    <row r="214" spans="1:19">
      <c r="A214" s="173" t="s">
        <v>974</v>
      </c>
      <c r="B214" s="174">
        <v>2022</v>
      </c>
      <c r="C214" s="174">
        <v>23</v>
      </c>
      <c r="D214" s="175" t="s">
        <v>975</v>
      </c>
      <c r="E214" s="175" t="s">
        <v>976</v>
      </c>
      <c r="F214" s="175" t="s">
        <v>977</v>
      </c>
      <c r="G214" s="175"/>
      <c r="H214" s="175" t="s">
        <v>637</v>
      </c>
      <c r="I214" s="176">
        <v>621.1</v>
      </c>
      <c r="J214" t="s">
        <v>1062</v>
      </c>
      <c r="K214" t="s">
        <v>1063</v>
      </c>
      <c r="L214">
        <v>6</v>
      </c>
      <c r="M214" s="180">
        <v>2022</v>
      </c>
      <c r="N214" s="180"/>
      <c r="R214" t="b">
        <v>0</v>
      </c>
    </row>
    <row r="215" spans="1:19">
      <c r="A215" s="173" t="s">
        <v>978</v>
      </c>
      <c r="B215" s="174">
        <v>2025</v>
      </c>
      <c r="C215" s="174">
        <v>1</v>
      </c>
      <c r="D215" s="175" t="s">
        <v>979</v>
      </c>
      <c r="E215" s="175" t="s">
        <v>980</v>
      </c>
      <c r="F215" s="175" t="s">
        <v>635</v>
      </c>
      <c r="G215" s="175" t="s">
        <v>666</v>
      </c>
      <c r="H215" s="175" t="s">
        <v>637</v>
      </c>
      <c r="I215" s="176">
        <v>1617.2</v>
      </c>
      <c r="J215" t="s">
        <v>1062</v>
      </c>
      <c r="K215" t="s">
        <v>1063</v>
      </c>
      <c r="M215" s="180">
        <v>2025</v>
      </c>
      <c r="N215" s="180"/>
      <c r="R215" t="b">
        <v>0</v>
      </c>
    </row>
    <row r="216" spans="1:19">
      <c r="A216" s="173" t="s">
        <v>981</v>
      </c>
      <c r="B216" s="174">
        <v>2025</v>
      </c>
      <c r="C216" s="174">
        <v>2</v>
      </c>
      <c r="D216" s="175" t="s">
        <v>982</v>
      </c>
      <c r="E216" s="175" t="s">
        <v>983</v>
      </c>
      <c r="F216" s="175" t="s">
        <v>984</v>
      </c>
      <c r="G216" s="175" t="s">
        <v>985</v>
      </c>
      <c r="H216" s="175" t="s">
        <v>637</v>
      </c>
      <c r="I216" s="176">
        <v>1589.1</v>
      </c>
      <c r="J216" t="s">
        <v>1062</v>
      </c>
      <c r="K216" t="s">
        <v>1063</v>
      </c>
      <c r="L216">
        <v>8</v>
      </c>
      <c r="M216" s="180">
        <v>2025</v>
      </c>
      <c r="N216" s="180"/>
      <c r="R216" t="b">
        <v>1</v>
      </c>
      <c r="S216" t="s">
        <v>1065</v>
      </c>
    </row>
    <row r="217" spans="1:19">
      <c r="A217" s="173" t="s">
        <v>986</v>
      </c>
      <c r="B217" s="174">
        <v>2025</v>
      </c>
      <c r="C217" s="174">
        <v>3</v>
      </c>
      <c r="D217" s="175" t="s">
        <v>987</v>
      </c>
      <c r="E217" s="175" t="s">
        <v>988</v>
      </c>
      <c r="F217" s="175" t="s">
        <v>664</v>
      </c>
      <c r="G217" s="175" t="s">
        <v>666</v>
      </c>
      <c r="H217" s="175" t="s">
        <v>637</v>
      </c>
      <c r="I217" s="176">
        <v>859.6</v>
      </c>
      <c r="J217" t="s">
        <v>1062</v>
      </c>
      <c r="K217" t="s">
        <v>1063</v>
      </c>
      <c r="M217" s="180">
        <v>2025</v>
      </c>
      <c r="N217" s="180"/>
      <c r="R217" t="b">
        <v>0</v>
      </c>
    </row>
    <row r="218" spans="1:19">
      <c r="A218" s="173" t="s">
        <v>989</v>
      </c>
      <c r="B218" s="174">
        <v>2025</v>
      </c>
      <c r="C218" s="174">
        <v>4</v>
      </c>
      <c r="D218" s="175" t="s">
        <v>990</v>
      </c>
      <c r="E218" s="175" t="s">
        <v>991</v>
      </c>
      <c r="F218" s="175" t="s">
        <v>635</v>
      </c>
      <c r="G218" s="175" t="s">
        <v>666</v>
      </c>
      <c r="H218" s="175" t="s">
        <v>637</v>
      </c>
      <c r="I218" s="176">
        <v>1045.5999999999999</v>
      </c>
      <c r="J218" t="s">
        <v>1062</v>
      </c>
      <c r="K218" t="s">
        <v>1063</v>
      </c>
      <c r="M218" s="180">
        <v>2025</v>
      </c>
      <c r="N218" s="180"/>
      <c r="R218" t="b">
        <v>0</v>
      </c>
    </row>
    <row r="219" spans="1:19">
      <c r="A219" s="173" t="s">
        <v>992</v>
      </c>
      <c r="B219" s="174">
        <v>2025</v>
      </c>
      <c r="C219" s="174">
        <v>5</v>
      </c>
      <c r="D219" s="175" t="s">
        <v>993</v>
      </c>
      <c r="E219" s="175" t="s">
        <v>994</v>
      </c>
      <c r="F219" s="175" t="s">
        <v>683</v>
      </c>
      <c r="G219" s="175" t="s">
        <v>666</v>
      </c>
      <c r="H219" s="175" t="s">
        <v>637</v>
      </c>
      <c r="I219" s="176">
        <v>2105.5</v>
      </c>
      <c r="J219" t="s">
        <v>1062</v>
      </c>
      <c r="K219" t="s">
        <v>1063</v>
      </c>
      <c r="M219" s="180">
        <v>2025</v>
      </c>
      <c r="N219" s="180"/>
      <c r="R219" t="b">
        <v>0</v>
      </c>
    </row>
    <row r="220" spans="1:19">
      <c r="A220" s="173" t="s">
        <v>995</v>
      </c>
      <c r="B220" s="174">
        <v>2025</v>
      </c>
      <c r="C220" s="174">
        <v>6</v>
      </c>
      <c r="D220" s="175" t="s">
        <v>996</v>
      </c>
      <c r="E220" s="175" t="s">
        <v>997</v>
      </c>
      <c r="F220" s="175" t="s">
        <v>683</v>
      </c>
      <c r="G220" s="175" t="s">
        <v>666</v>
      </c>
      <c r="H220" s="175" t="s">
        <v>637</v>
      </c>
      <c r="I220" s="176">
        <v>755.3</v>
      </c>
      <c r="J220" t="s">
        <v>1062</v>
      </c>
      <c r="K220" t="s">
        <v>1063</v>
      </c>
      <c r="M220" s="180">
        <v>2025</v>
      </c>
      <c r="N220" s="180"/>
      <c r="R220" t="b">
        <v>0</v>
      </c>
    </row>
    <row r="221" spans="1:19">
      <c r="A221" s="173" t="s">
        <v>998</v>
      </c>
      <c r="B221" s="174">
        <v>2025</v>
      </c>
      <c r="C221" s="174">
        <v>7</v>
      </c>
      <c r="D221" s="175" t="s">
        <v>999</v>
      </c>
      <c r="E221" s="175" t="s">
        <v>1000</v>
      </c>
      <c r="F221" s="175" t="s">
        <v>1001</v>
      </c>
      <c r="G221" s="175" t="s">
        <v>1002</v>
      </c>
      <c r="H221" s="175" t="s">
        <v>637</v>
      </c>
      <c r="I221" s="176">
        <v>1297</v>
      </c>
      <c r="J221" t="s">
        <v>1062</v>
      </c>
      <c r="K221" t="s">
        <v>1063</v>
      </c>
      <c r="M221" s="180">
        <v>2025</v>
      </c>
      <c r="N221" s="180"/>
      <c r="R221" t="b">
        <v>0</v>
      </c>
    </row>
    <row r="222" spans="1:19" ht="25.5">
      <c r="A222" s="173" t="s">
        <v>1003</v>
      </c>
      <c r="B222" s="174">
        <v>2025</v>
      </c>
      <c r="C222" s="174">
        <v>8</v>
      </c>
      <c r="D222" s="175" t="s">
        <v>1004</v>
      </c>
      <c r="E222" s="175" t="s">
        <v>1005</v>
      </c>
      <c r="F222" s="175" t="s">
        <v>1006</v>
      </c>
      <c r="G222" s="175" t="s">
        <v>1002</v>
      </c>
      <c r="H222" s="175" t="s">
        <v>637</v>
      </c>
      <c r="I222" s="176">
        <v>1261.2</v>
      </c>
      <c r="J222" t="s">
        <v>1062</v>
      </c>
      <c r="K222" t="s">
        <v>1063</v>
      </c>
      <c r="L222">
        <v>7</v>
      </c>
      <c r="M222" s="180">
        <v>2025</v>
      </c>
      <c r="N222" s="180"/>
      <c r="R222" t="b">
        <v>1</v>
      </c>
    </row>
    <row r="223" spans="1:19" ht="25.5">
      <c r="A223" s="173" t="s">
        <v>1007</v>
      </c>
      <c r="B223" s="174">
        <v>2025</v>
      </c>
      <c r="C223" s="174">
        <v>9</v>
      </c>
      <c r="D223" s="175" t="s">
        <v>1008</v>
      </c>
      <c r="E223" s="175" t="s">
        <v>1009</v>
      </c>
      <c r="F223" s="175" t="s">
        <v>1010</v>
      </c>
      <c r="G223" s="175" t="s">
        <v>1011</v>
      </c>
      <c r="H223" s="175" t="s">
        <v>637</v>
      </c>
      <c r="I223" s="176">
        <v>1539</v>
      </c>
      <c r="J223" t="s">
        <v>1062</v>
      </c>
      <c r="K223" t="s">
        <v>1063</v>
      </c>
      <c r="M223" s="180">
        <v>2025</v>
      </c>
      <c r="N223" s="180"/>
      <c r="R223" t="b">
        <v>0</v>
      </c>
    </row>
    <row r="224" spans="1:19">
      <c r="A224" s="173" t="s">
        <v>1012</v>
      </c>
      <c r="B224" s="174">
        <v>2025</v>
      </c>
      <c r="C224" s="174">
        <v>10</v>
      </c>
      <c r="D224" s="175" t="s">
        <v>1013</v>
      </c>
      <c r="E224" s="175" t="s">
        <v>1014</v>
      </c>
      <c r="F224" s="175" t="s">
        <v>1015</v>
      </c>
      <c r="G224" s="175" t="s">
        <v>1016</v>
      </c>
      <c r="H224" s="175" t="s">
        <v>637</v>
      </c>
      <c r="I224" s="176">
        <v>1538</v>
      </c>
      <c r="J224" t="s">
        <v>1062</v>
      </c>
      <c r="K224" t="s">
        <v>1063</v>
      </c>
      <c r="L224">
        <v>6</v>
      </c>
      <c r="M224" s="180">
        <v>2025</v>
      </c>
      <c r="N224" s="180"/>
      <c r="R224" t="b">
        <v>1</v>
      </c>
      <c r="S224" t="s">
        <v>1067</v>
      </c>
    </row>
    <row r="225" spans="1:20" ht="25.5">
      <c r="A225" s="173" t="s">
        <v>1017</v>
      </c>
      <c r="B225" s="174">
        <v>2025</v>
      </c>
      <c r="C225" s="174">
        <v>11</v>
      </c>
      <c r="D225" s="175" t="s">
        <v>1018</v>
      </c>
      <c r="E225" s="175" t="s">
        <v>1019</v>
      </c>
      <c r="F225" s="175" t="s">
        <v>1020</v>
      </c>
      <c r="G225" s="175" t="s">
        <v>1021</v>
      </c>
      <c r="H225" s="175" t="s">
        <v>637</v>
      </c>
      <c r="I225" s="176">
        <v>1226.2</v>
      </c>
      <c r="J225" t="s">
        <v>1062</v>
      </c>
      <c r="K225" t="s">
        <v>1063</v>
      </c>
      <c r="M225" s="180">
        <v>2025</v>
      </c>
      <c r="N225" s="180"/>
      <c r="R225" t="b">
        <v>0</v>
      </c>
    </row>
    <row r="226" spans="1:20">
      <c r="A226" s="173" t="s">
        <v>1022</v>
      </c>
      <c r="B226" s="174">
        <v>2025</v>
      </c>
      <c r="C226" s="174">
        <v>12</v>
      </c>
      <c r="D226" s="175" t="s">
        <v>1023</v>
      </c>
      <c r="E226" s="175" t="s">
        <v>1024</v>
      </c>
      <c r="F226" s="175" t="s">
        <v>683</v>
      </c>
      <c r="G226" s="175" t="s">
        <v>666</v>
      </c>
      <c r="H226" s="175" t="s">
        <v>637</v>
      </c>
      <c r="I226" s="176">
        <v>1572.2</v>
      </c>
      <c r="J226" t="s">
        <v>1062</v>
      </c>
      <c r="K226" t="s">
        <v>1063</v>
      </c>
      <c r="M226" s="180">
        <v>2025</v>
      </c>
      <c r="N226" s="180"/>
      <c r="R226" t="b">
        <v>0</v>
      </c>
    </row>
    <row r="227" spans="1:20" ht="25.5">
      <c r="A227" s="173" t="s">
        <v>1025</v>
      </c>
      <c r="B227" s="174">
        <v>2025</v>
      </c>
      <c r="C227" s="174">
        <v>13</v>
      </c>
      <c r="D227" s="175" t="s">
        <v>1026</v>
      </c>
      <c r="E227" s="175" t="s">
        <v>1027</v>
      </c>
      <c r="F227" s="175" t="s">
        <v>1028</v>
      </c>
      <c r="G227" s="175" t="s">
        <v>1029</v>
      </c>
      <c r="H227" s="175" t="s">
        <v>637</v>
      </c>
      <c r="I227" s="176">
        <v>618.9</v>
      </c>
      <c r="J227" t="s">
        <v>1062</v>
      </c>
      <c r="K227" t="s">
        <v>1063</v>
      </c>
      <c r="L227">
        <v>9</v>
      </c>
      <c r="M227" s="180">
        <v>2025</v>
      </c>
      <c r="N227" s="180"/>
      <c r="R227" t="b">
        <v>1</v>
      </c>
      <c r="S227" t="s">
        <v>1065</v>
      </c>
    </row>
    <row r="228" spans="1:20" ht="25.5">
      <c r="A228" s="173" t="s">
        <v>1030</v>
      </c>
      <c r="B228" s="174">
        <v>2025</v>
      </c>
      <c r="C228" s="174">
        <v>14</v>
      </c>
      <c r="D228" s="175" t="s">
        <v>1053</v>
      </c>
      <c r="E228" s="175" t="s">
        <v>1054</v>
      </c>
      <c r="F228" s="175" t="s">
        <v>671</v>
      </c>
      <c r="G228" s="175" t="s">
        <v>1031</v>
      </c>
      <c r="H228" s="175" t="s">
        <v>637</v>
      </c>
      <c r="I228" s="176">
        <v>1506.5</v>
      </c>
      <c r="J228" t="s">
        <v>1062</v>
      </c>
      <c r="K228" t="s">
        <v>1063</v>
      </c>
      <c r="L228">
        <v>12</v>
      </c>
      <c r="M228" s="180">
        <v>2025</v>
      </c>
      <c r="N228" s="180"/>
      <c r="R228" t="b">
        <v>1</v>
      </c>
    </row>
    <row r="229" spans="1:20" ht="25.5">
      <c r="A229" s="173" t="s">
        <v>1032</v>
      </c>
      <c r="B229" s="174">
        <v>2025</v>
      </c>
      <c r="C229" s="174">
        <v>15</v>
      </c>
      <c r="D229" s="175" t="s">
        <v>1033</v>
      </c>
      <c r="E229" s="175" t="s">
        <v>1034</v>
      </c>
      <c r="F229" s="175" t="s">
        <v>1064</v>
      </c>
      <c r="G229" s="175" t="s">
        <v>1031</v>
      </c>
      <c r="H229" s="175" t="s">
        <v>637</v>
      </c>
      <c r="I229" s="176">
        <v>1571.1</v>
      </c>
      <c r="J229" t="s">
        <v>1062</v>
      </c>
      <c r="K229" t="s">
        <v>1063</v>
      </c>
      <c r="L229">
        <v>11</v>
      </c>
      <c r="M229" s="180">
        <v>2025</v>
      </c>
      <c r="N229" s="180"/>
      <c r="R229" t="b">
        <v>1</v>
      </c>
    </row>
    <row r="230" spans="1:20" ht="25.5">
      <c r="A230" s="173" t="s">
        <v>1035</v>
      </c>
      <c r="B230" s="174">
        <v>2025</v>
      </c>
      <c r="C230" s="174">
        <v>16</v>
      </c>
      <c r="D230" s="175" t="s">
        <v>1036</v>
      </c>
      <c r="E230" s="175" t="s">
        <v>1037</v>
      </c>
      <c r="F230" s="175" t="s">
        <v>1020</v>
      </c>
      <c r="G230" s="175" t="s">
        <v>1038</v>
      </c>
      <c r="H230" s="175" t="s">
        <v>637</v>
      </c>
      <c r="I230" s="176">
        <v>1190.3</v>
      </c>
      <c r="J230" t="s">
        <v>1062</v>
      </c>
      <c r="K230" t="s">
        <v>1063</v>
      </c>
      <c r="L230">
        <v>1</v>
      </c>
      <c r="M230" s="180">
        <v>2025</v>
      </c>
      <c r="N230" s="180" t="b">
        <v>1</v>
      </c>
      <c r="R230" t="b">
        <v>1</v>
      </c>
    </row>
    <row r="231" spans="1:20" ht="25.5">
      <c r="A231" s="173" t="s">
        <v>1039</v>
      </c>
      <c r="B231" s="174">
        <v>2025</v>
      </c>
      <c r="C231" s="174">
        <v>17</v>
      </c>
      <c r="D231" s="175" t="s">
        <v>1040</v>
      </c>
      <c r="E231" s="175" t="s">
        <v>1041</v>
      </c>
      <c r="F231" s="175" t="s">
        <v>1020</v>
      </c>
      <c r="G231" s="175" t="s">
        <v>1031</v>
      </c>
      <c r="H231" s="175" t="s">
        <v>637</v>
      </c>
      <c r="I231" s="176">
        <v>1054.8</v>
      </c>
      <c r="J231" t="s">
        <v>1062</v>
      </c>
      <c r="K231" t="s">
        <v>1063</v>
      </c>
      <c r="L231">
        <v>2</v>
      </c>
      <c r="M231" s="180">
        <v>2025</v>
      </c>
      <c r="N231" s="180"/>
      <c r="R231" t="b">
        <v>1</v>
      </c>
    </row>
    <row r="232" spans="1:20" ht="25.5">
      <c r="A232" s="173" t="s">
        <v>1042</v>
      </c>
      <c r="B232" s="174">
        <v>2025</v>
      </c>
      <c r="C232" s="174">
        <v>18</v>
      </c>
      <c r="D232" s="175" t="s">
        <v>1043</v>
      </c>
      <c r="E232" s="175" t="s">
        <v>1044</v>
      </c>
      <c r="F232" s="175" t="s">
        <v>1010</v>
      </c>
      <c r="G232" s="175" t="s">
        <v>1011</v>
      </c>
      <c r="H232" s="175" t="s">
        <v>637</v>
      </c>
      <c r="I232" s="176">
        <v>966.6</v>
      </c>
      <c r="J232" t="s">
        <v>1062</v>
      </c>
      <c r="K232" t="s">
        <v>1063</v>
      </c>
      <c r="L232">
        <v>3</v>
      </c>
      <c r="M232" s="180">
        <v>2025</v>
      </c>
      <c r="N232" s="180"/>
      <c r="R232" t="b">
        <v>1</v>
      </c>
    </row>
    <row r="233" spans="1:20" ht="25.5">
      <c r="A233" s="173" t="s">
        <v>1045</v>
      </c>
      <c r="B233" s="174">
        <v>2025</v>
      </c>
      <c r="C233" s="174">
        <v>19</v>
      </c>
      <c r="D233" s="175" t="s">
        <v>1055</v>
      </c>
      <c r="E233" s="175" t="s">
        <v>1056</v>
      </c>
      <c r="F233" s="175" t="s">
        <v>671</v>
      </c>
      <c r="G233" s="175" t="s">
        <v>1038</v>
      </c>
      <c r="H233" s="175" t="s">
        <v>637</v>
      </c>
      <c r="I233" s="176">
        <v>1289.5</v>
      </c>
      <c r="J233" t="s">
        <v>1062</v>
      </c>
      <c r="K233" t="s">
        <v>1063</v>
      </c>
      <c r="L233">
        <v>4</v>
      </c>
      <c r="M233" s="180">
        <v>2025</v>
      </c>
      <c r="N233" s="180"/>
      <c r="R233" t="b">
        <v>0</v>
      </c>
    </row>
    <row r="234" spans="1:20">
      <c r="A234" s="173" t="s">
        <v>1046</v>
      </c>
      <c r="B234" s="174">
        <v>2025</v>
      </c>
      <c r="C234" s="174">
        <v>20</v>
      </c>
      <c r="D234" s="175" t="s">
        <v>1047</v>
      </c>
      <c r="E234" s="175" t="s">
        <v>1048</v>
      </c>
      <c r="F234" s="175" t="s">
        <v>1001</v>
      </c>
      <c r="G234" s="175" t="s">
        <v>837</v>
      </c>
      <c r="H234" s="175" t="s">
        <v>637</v>
      </c>
      <c r="I234" s="176">
        <v>1303.2</v>
      </c>
      <c r="J234" t="s">
        <v>1062</v>
      </c>
      <c r="K234" t="s">
        <v>1063</v>
      </c>
      <c r="L234">
        <v>5</v>
      </c>
      <c r="M234" s="180">
        <v>2025</v>
      </c>
      <c r="N234" s="180"/>
      <c r="R234" t="b">
        <v>1</v>
      </c>
    </row>
    <row r="235" spans="1:20" ht="25.5">
      <c r="A235" s="173" t="s">
        <v>1032</v>
      </c>
      <c r="B235" s="174">
        <v>2025</v>
      </c>
      <c r="C235" s="174">
        <v>15</v>
      </c>
      <c r="D235" s="175" t="s">
        <v>1033</v>
      </c>
      <c r="E235" s="175" t="s">
        <v>1034</v>
      </c>
      <c r="F235" s="175" t="s">
        <v>1066</v>
      </c>
      <c r="G235" s="175" t="s">
        <v>1031</v>
      </c>
      <c r="H235" s="175" t="s">
        <v>637</v>
      </c>
      <c r="I235" s="176">
        <v>1571.1</v>
      </c>
      <c r="J235" s="177" t="s">
        <v>1062</v>
      </c>
      <c r="K235" t="s">
        <v>1063</v>
      </c>
      <c r="L235" s="178">
        <v>10</v>
      </c>
      <c r="M235" s="180">
        <v>2025</v>
      </c>
      <c r="N235" s="180"/>
      <c r="O235" s="178"/>
      <c r="P235" s="177"/>
      <c r="Q235" s="177"/>
      <c r="R235" t="b">
        <v>1</v>
      </c>
      <c r="S235" s="177" t="s">
        <v>638</v>
      </c>
      <c r="T235" s="175"/>
    </row>
  </sheetData>
  <mergeCells count="2">
    <mergeCell ref="A1:S1"/>
    <mergeCell ref="A2:S2"/>
  </mergeCells>
  <conditionalFormatting sqref="T5:T235">
    <cfRule type="expression" dxfId="0" priority="1">
      <formula>LEN(T5)&gt;0</formula>
    </cfRule>
  </conditionalFormatting>
  <dataValidations count="3">
    <dataValidation type="list" sqref="S5:S235" xr:uid="{223E3D59-53AE-46E8-B4B5-B436577F4349}">
      <formula1>"center,top,bottom,left,right,50% 35%,50% 65%"</formula1>
    </dataValidation>
    <dataValidation type="list" sqref="R5:R235" xr:uid="{7371C2B1-A690-4AF3-8EC4-ABCB019C898A}">
      <formula1>"true,false"</formula1>
    </dataValidation>
    <dataValidation type="list" sqref="J5:J235" xr:uid="{C496FB3C-8CCB-4423-A01A-60C03EB6808D}">
      <formula1>"home,live,teams,players,player-profile,history,records,about,gallery"</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
  <sheetViews>
    <sheetView workbookViewId="0"/>
  </sheetViews>
  <sheetFormatPr defaultRowHeight="12.75"/>
  <cols>
    <col min="1" max="2" width="18" customWidth="1"/>
    <col min="3" max="3" width="8" customWidth="1"/>
    <col min="4" max="4" width="16" customWidth="1"/>
    <col min="5" max="5" width="24" customWidth="1"/>
    <col min="6" max="7" width="16" customWidth="1"/>
    <col min="8" max="8" width="12" customWidth="1"/>
    <col min="9" max="9" width="22" customWidth="1"/>
    <col min="10" max="10" width="42" customWidth="1"/>
    <col min="11" max="11" width="12" customWidth="1"/>
    <col min="12" max="12" width="10" customWidth="1"/>
  </cols>
  <sheetData>
    <row r="1" spans="1:12" ht="25.5">
      <c r="A1" s="166" t="s">
        <v>511</v>
      </c>
      <c r="B1" s="166" t="s">
        <v>218</v>
      </c>
      <c r="C1" s="166" t="s">
        <v>254</v>
      </c>
      <c r="D1" s="166" t="s">
        <v>512</v>
      </c>
      <c r="E1" s="166" t="s">
        <v>513</v>
      </c>
      <c r="F1" s="166" t="s">
        <v>514</v>
      </c>
      <c r="G1" s="166" t="s">
        <v>235</v>
      </c>
      <c r="H1" s="166" t="s">
        <v>239</v>
      </c>
      <c r="I1" s="166" t="s">
        <v>515</v>
      </c>
      <c r="J1" s="166" t="s">
        <v>289</v>
      </c>
      <c r="K1" s="166" t="s">
        <v>516</v>
      </c>
      <c r="L1" s="166" t="s">
        <v>240</v>
      </c>
    </row>
    <row r="2" spans="1:12">
      <c r="A2" s="167" t="s">
        <v>517</v>
      </c>
      <c r="B2" s="167" t="s">
        <v>276</v>
      </c>
      <c r="C2" s="167">
        <v>2026</v>
      </c>
      <c r="D2" s="167" t="s">
        <v>518</v>
      </c>
      <c r="E2" s="167" t="s">
        <v>519</v>
      </c>
      <c r="F2" s="167" t="s">
        <v>296</v>
      </c>
      <c r="G2" s="167"/>
      <c r="H2" s="167"/>
      <c r="I2" s="167"/>
      <c r="J2" s="167" t="s">
        <v>520</v>
      </c>
      <c r="K2" s="167">
        <v>10</v>
      </c>
      <c r="L2" s="168" t="b">
        <v>0</v>
      </c>
    </row>
    <row r="3" spans="1:12">
      <c r="A3" s="167" t="s">
        <v>521</v>
      </c>
      <c r="B3" s="167" t="s">
        <v>276</v>
      </c>
      <c r="C3" s="167">
        <v>2026</v>
      </c>
      <c r="D3" s="167" t="s">
        <v>312</v>
      </c>
      <c r="E3" s="167" t="s">
        <v>522</v>
      </c>
      <c r="F3" s="167" t="s">
        <v>296</v>
      </c>
      <c r="G3" s="167"/>
      <c r="H3" s="167"/>
      <c r="I3" s="167"/>
      <c r="J3" s="167" t="s">
        <v>523</v>
      </c>
      <c r="K3" s="167">
        <v>20</v>
      </c>
      <c r="L3" s="168" t="b">
        <v>0</v>
      </c>
    </row>
  </sheetData>
  <dataValidations count="3">
    <dataValidation type="list" sqref="D2:D500" xr:uid="{00000000-0002-0000-0A00-000000000000}">
      <formula1>"mvp,captain,sportsmanship,rookie,custom"</formula1>
    </dataValidation>
    <dataValidation type="list" sqref="F2:F500" xr:uid="{00000000-0002-0000-0A00-000001000000}">
      <formula1>"player,team"</formula1>
    </dataValidation>
    <dataValidation type="list" sqref="L2:L500" xr:uid="{00000000-0002-0000-0A00-000002000000}">
      <formula1>"true,false"</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
  <sheetViews>
    <sheetView workbookViewId="0"/>
  </sheetViews>
  <sheetFormatPr defaultRowHeight="12.75"/>
  <cols>
    <col min="1" max="1" width="18" customWidth="1"/>
    <col min="2" max="2" width="12" customWidth="1"/>
    <col min="3" max="3" width="14" customWidth="1"/>
    <col min="4" max="4" width="18" customWidth="1"/>
    <col min="5" max="5" width="8" customWidth="1"/>
    <col min="6" max="6" width="34" customWidth="1"/>
    <col min="7" max="7" width="14" customWidth="1"/>
    <col min="8" max="8" width="42" customWidth="1"/>
    <col min="9" max="9" width="12" customWidth="1"/>
    <col min="10" max="10" width="10" customWidth="1"/>
  </cols>
  <sheetData>
    <row r="1" spans="1:10">
      <c r="A1" s="170" t="s">
        <v>524</v>
      </c>
      <c r="B1" s="170" t="s">
        <v>525</v>
      </c>
      <c r="C1" s="170" t="s">
        <v>526</v>
      </c>
      <c r="D1" s="170" t="s">
        <v>527</v>
      </c>
      <c r="E1" s="170" t="s">
        <v>254</v>
      </c>
      <c r="F1" s="170" t="s">
        <v>528</v>
      </c>
      <c r="G1" s="170" t="s">
        <v>529</v>
      </c>
      <c r="H1" s="170" t="s">
        <v>530</v>
      </c>
      <c r="I1" s="170" t="s">
        <v>290</v>
      </c>
      <c r="J1" s="170" t="s">
        <v>240</v>
      </c>
    </row>
    <row r="2" spans="1:10">
      <c r="A2" s="146" t="s">
        <v>531</v>
      </c>
      <c r="B2" s="146" t="s">
        <v>532</v>
      </c>
      <c r="C2" s="146" t="s">
        <v>533</v>
      </c>
      <c r="D2" s="146" t="s">
        <v>276</v>
      </c>
      <c r="E2" s="146">
        <v>2026</v>
      </c>
      <c r="F2" s="146"/>
      <c r="G2" s="146" t="s">
        <v>534</v>
      </c>
      <c r="H2" s="146" t="s">
        <v>535</v>
      </c>
      <c r="I2" s="146">
        <v>10</v>
      </c>
      <c r="J2" s="157" t="b">
        <v>0</v>
      </c>
    </row>
    <row r="3" spans="1:10">
      <c r="A3" s="146" t="s">
        <v>536</v>
      </c>
      <c r="B3" s="146" t="s">
        <v>532</v>
      </c>
      <c r="C3" s="146" t="s">
        <v>537</v>
      </c>
      <c r="D3" s="146" t="s">
        <v>538</v>
      </c>
      <c r="E3" s="146"/>
      <c r="F3" s="146"/>
      <c r="G3" s="146" t="s">
        <v>539</v>
      </c>
      <c r="H3" s="146" t="s">
        <v>540</v>
      </c>
      <c r="I3" s="146">
        <v>20</v>
      </c>
      <c r="J3" s="157" t="b">
        <v>0</v>
      </c>
    </row>
    <row r="4" spans="1:10" ht="25.5">
      <c r="A4" s="146" t="s">
        <v>541</v>
      </c>
      <c r="B4" s="146" t="s">
        <v>532</v>
      </c>
      <c r="C4" s="146" t="s">
        <v>296</v>
      </c>
      <c r="D4" s="146" t="s">
        <v>169</v>
      </c>
      <c r="E4" s="146"/>
      <c r="F4" s="146" t="s">
        <v>169</v>
      </c>
      <c r="G4" s="146" t="s">
        <v>542</v>
      </c>
      <c r="H4" s="146" t="s">
        <v>543</v>
      </c>
      <c r="I4" s="146">
        <v>10</v>
      </c>
      <c r="J4" s="157" t="b">
        <v>1</v>
      </c>
    </row>
    <row r="5" spans="1:10" ht="25.5">
      <c r="A5" s="146" t="s">
        <v>544</v>
      </c>
      <c r="B5" s="146" t="s">
        <v>532</v>
      </c>
      <c r="C5" s="146" t="s">
        <v>296</v>
      </c>
      <c r="D5" s="146" t="s">
        <v>210</v>
      </c>
      <c r="E5" s="146"/>
      <c r="F5" s="146" t="s">
        <v>210</v>
      </c>
      <c r="G5" s="146" t="s">
        <v>542</v>
      </c>
      <c r="H5" s="146" t="s">
        <v>543</v>
      </c>
      <c r="I5" s="146">
        <v>10</v>
      </c>
      <c r="J5" s="157" t="b">
        <v>1</v>
      </c>
    </row>
  </sheetData>
  <dataValidations count="4">
    <dataValidation type="list" sqref="B2:B500" xr:uid="{00000000-0002-0000-0B00-000000000000}">
      <formula1>"photo,video"</formula1>
    </dataValidation>
    <dataValidation type="list" sqref="C2:C500" xr:uid="{00000000-0002-0000-0B00-000001000000}">
      <formula1>"site,tournament,player,team"</formula1>
    </dataValidation>
    <dataValidation type="list" sqref="G2:G500" xr:uid="{00000000-0002-0000-0B00-000002000000}">
      <formula1>"hero,featured,profile,gallery,thumbnail"</formula1>
    </dataValidation>
    <dataValidation type="list" sqref="J2:J500" xr:uid="{00000000-0002-0000-0B00-000003000000}">
      <formula1>"true,false"</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1"/>
  <sheetViews>
    <sheetView workbookViewId="0">
      <selection sqref="A1:F2"/>
    </sheetView>
  </sheetViews>
  <sheetFormatPr defaultRowHeight="12.75"/>
  <cols>
    <col min="1" max="2" width="24" customWidth="1"/>
    <col min="3" max="3" width="14" customWidth="1"/>
    <col min="4" max="4" width="20" customWidth="1"/>
    <col min="5" max="5" width="48" customWidth="1"/>
    <col min="6" max="6" width="28" customWidth="1"/>
  </cols>
  <sheetData>
    <row r="1" spans="1:6" ht="30" customHeight="1">
      <c r="A1" s="206" t="s">
        <v>545</v>
      </c>
      <c r="B1" s="207"/>
      <c r="C1" s="207"/>
      <c r="D1" s="207"/>
      <c r="E1" s="207"/>
      <c r="F1" s="207"/>
    </row>
    <row r="2" spans="1:6" ht="30" customHeight="1">
      <c r="A2" s="207"/>
      <c r="B2" s="207"/>
      <c r="C2" s="207"/>
      <c r="D2" s="207"/>
      <c r="E2" s="207"/>
      <c r="F2" s="207"/>
    </row>
    <row r="4" spans="1:6">
      <c r="A4" s="164" t="s">
        <v>546</v>
      </c>
      <c r="B4" s="164" t="s">
        <v>547</v>
      </c>
      <c r="C4" s="164" t="s">
        <v>548</v>
      </c>
      <c r="D4" s="164" t="s">
        <v>549</v>
      </c>
      <c r="E4" s="164" t="s">
        <v>550</v>
      </c>
      <c r="F4" s="164" t="s">
        <v>551</v>
      </c>
    </row>
    <row r="5" spans="1:6">
      <c r="A5" s="146" t="s">
        <v>413</v>
      </c>
      <c r="B5" s="146" t="s">
        <v>235</v>
      </c>
      <c r="C5" s="146" t="s">
        <v>170</v>
      </c>
      <c r="D5" s="146" t="s">
        <v>552</v>
      </c>
      <c r="E5" s="146" t="s">
        <v>553</v>
      </c>
      <c r="F5" s="146" t="s">
        <v>210</v>
      </c>
    </row>
    <row r="6" spans="1:6">
      <c r="A6" s="146" t="s">
        <v>413</v>
      </c>
      <c r="B6" s="146" t="s">
        <v>238</v>
      </c>
      <c r="C6" s="146" t="s">
        <v>170</v>
      </c>
      <c r="D6" s="146" t="s">
        <v>554</v>
      </c>
      <c r="E6" s="146" t="s">
        <v>555</v>
      </c>
      <c r="F6" s="146" t="s">
        <v>43</v>
      </c>
    </row>
    <row r="7" spans="1:6">
      <c r="A7" s="146" t="s">
        <v>417</v>
      </c>
      <c r="B7" s="146" t="s">
        <v>218</v>
      </c>
      <c r="C7" s="146" t="s">
        <v>170</v>
      </c>
      <c r="D7" s="146" t="s">
        <v>552</v>
      </c>
      <c r="E7" s="146" t="s">
        <v>556</v>
      </c>
      <c r="F7" s="146" t="s">
        <v>276</v>
      </c>
    </row>
    <row r="8" spans="1:6">
      <c r="A8" s="146" t="s">
        <v>417</v>
      </c>
      <c r="B8" s="146" t="s">
        <v>266</v>
      </c>
      <c r="C8" s="146" t="s">
        <v>170</v>
      </c>
      <c r="D8" s="146" t="s">
        <v>554</v>
      </c>
      <c r="E8" s="146" t="s">
        <v>557</v>
      </c>
      <c r="F8" s="146" t="s">
        <v>558</v>
      </c>
    </row>
    <row r="9" spans="1:6" ht="25.5">
      <c r="A9" s="146" t="s">
        <v>417</v>
      </c>
      <c r="B9" s="146" t="s">
        <v>370</v>
      </c>
      <c r="C9" s="146" t="s">
        <v>559</v>
      </c>
      <c r="D9" s="146" t="s">
        <v>554</v>
      </c>
      <c r="E9" s="146" t="s">
        <v>560</v>
      </c>
      <c r="F9" s="146" t="s">
        <v>561</v>
      </c>
    </row>
    <row r="10" spans="1:6" ht="25.5">
      <c r="A10" s="146" t="s">
        <v>417</v>
      </c>
      <c r="B10" s="146" t="s">
        <v>371</v>
      </c>
      <c r="C10" s="146" t="s">
        <v>433</v>
      </c>
      <c r="D10" s="146" t="s">
        <v>554</v>
      </c>
      <c r="E10" s="146" t="s">
        <v>562</v>
      </c>
      <c r="F10" s="146" t="s">
        <v>563</v>
      </c>
    </row>
    <row r="11" spans="1:6" ht="25.5">
      <c r="A11" s="146" t="s">
        <v>388</v>
      </c>
      <c r="B11" s="146" t="s">
        <v>217</v>
      </c>
      <c r="C11" s="146" t="s">
        <v>170</v>
      </c>
      <c r="D11" s="146" t="s">
        <v>564</v>
      </c>
      <c r="E11" s="146" t="s">
        <v>565</v>
      </c>
      <c r="F11" s="146" t="s">
        <v>464</v>
      </c>
    </row>
    <row r="12" spans="1:6">
      <c r="A12" s="146" t="s">
        <v>388</v>
      </c>
      <c r="B12" s="146" t="s">
        <v>235</v>
      </c>
      <c r="C12" s="146" t="s">
        <v>170</v>
      </c>
      <c r="D12" s="146" t="s">
        <v>566</v>
      </c>
      <c r="E12" s="146" t="s">
        <v>567</v>
      </c>
      <c r="F12" s="146" t="s">
        <v>169</v>
      </c>
    </row>
    <row r="13" spans="1:6">
      <c r="A13" s="146" t="s">
        <v>388</v>
      </c>
      <c r="B13" s="146" t="s">
        <v>455</v>
      </c>
      <c r="C13" s="146" t="s">
        <v>568</v>
      </c>
      <c r="D13" s="146" t="s">
        <v>569</v>
      </c>
      <c r="E13" s="146" t="s">
        <v>570</v>
      </c>
      <c r="F13" s="146" t="s">
        <v>190</v>
      </c>
    </row>
    <row r="14" spans="1:6">
      <c r="A14" s="146" t="s">
        <v>388</v>
      </c>
      <c r="B14" s="146" t="s">
        <v>457</v>
      </c>
      <c r="C14" s="146" t="s">
        <v>170</v>
      </c>
      <c r="D14" s="146" t="s">
        <v>571</v>
      </c>
      <c r="E14" s="146" t="s">
        <v>572</v>
      </c>
      <c r="F14" s="146" t="s">
        <v>210</v>
      </c>
    </row>
    <row r="15" spans="1:6">
      <c r="A15" s="146" t="s">
        <v>388</v>
      </c>
      <c r="B15" s="146" t="s">
        <v>459</v>
      </c>
      <c r="C15" s="146" t="s">
        <v>568</v>
      </c>
      <c r="D15" s="146" t="s">
        <v>571</v>
      </c>
      <c r="E15" s="146" t="s">
        <v>573</v>
      </c>
      <c r="F15" s="146" t="s">
        <v>607</v>
      </c>
    </row>
    <row r="16" spans="1:6" ht="25.5">
      <c r="A16" s="146" t="s">
        <v>388</v>
      </c>
      <c r="B16" s="146" t="s">
        <v>231</v>
      </c>
      <c r="C16" s="146" t="s">
        <v>574</v>
      </c>
      <c r="D16" s="146" t="s">
        <v>554</v>
      </c>
      <c r="E16" s="146" t="s">
        <v>575</v>
      </c>
      <c r="F16" s="146" t="s">
        <v>102</v>
      </c>
    </row>
    <row r="17" spans="1:6">
      <c r="A17" s="146" t="s">
        <v>388</v>
      </c>
      <c r="B17" s="146" t="s">
        <v>461</v>
      </c>
      <c r="C17" s="146" t="s">
        <v>576</v>
      </c>
      <c r="D17" s="146" t="s">
        <v>577</v>
      </c>
      <c r="E17" s="146" t="s">
        <v>578</v>
      </c>
      <c r="F17" s="146" t="s">
        <v>438</v>
      </c>
    </row>
    <row r="18" spans="1:6">
      <c r="A18" s="146" t="s">
        <v>429</v>
      </c>
      <c r="B18" s="146" t="s">
        <v>511</v>
      </c>
      <c r="C18" s="146" t="s">
        <v>170</v>
      </c>
      <c r="D18" s="146" t="s">
        <v>552</v>
      </c>
      <c r="E18" s="146" t="s">
        <v>579</v>
      </c>
      <c r="F18" s="146" t="s">
        <v>580</v>
      </c>
    </row>
    <row r="19" spans="1:6">
      <c r="A19" s="146" t="s">
        <v>431</v>
      </c>
      <c r="B19" s="146" t="s">
        <v>528</v>
      </c>
      <c r="C19" s="146" t="s">
        <v>433</v>
      </c>
      <c r="D19" s="146" t="s">
        <v>554</v>
      </c>
      <c r="E19" s="146" t="s">
        <v>581</v>
      </c>
      <c r="F19" s="146" t="s">
        <v>563</v>
      </c>
    </row>
    <row r="20" spans="1:6">
      <c r="A20" s="146" t="s">
        <v>435</v>
      </c>
      <c r="B20" s="146" t="s">
        <v>287</v>
      </c>
      <c r="C20" s="146" t="s">
        <v>576</v>
      </c>
      <c r="D20" s="146" t="s">
        <v>423</v>
      </c>
      <c r="E20" s="146" t="s">
        <v>582</v>
      </c>
      <c r="F20" s="146" t="s">
        <v>583</v>
      </c>
    </row>
    <row r="21" spans="1:6">
      <c r="A21" s="146" t="s">
        <v>440</v>
      </c>
      <c r="B21" s="146" t="s">
        <v>347</v>
      </c>
      <c r="C21" s="146" t="s">
        <v>170</v>
      </c>
      <c r="D21" s="146" t="s">
        <v>554</v>
      </c>
      <c r="E21" s="146" t="s">
        <v>584</v>
      </c>
      <c r="F21" s="146" t="s">
        <v>276</v>
      </c>
    </row>
  </sheetData>
  <mergeCells count="1">
    <mergeCell ref="A1: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Live Leaderboard</vt:lpstr>
      <vt:lpstr>Record Book</vt:lpstr>
      <vt:lpstr>Player Stats</vt:lpstr>
      <vt:lpstr>Feed - Matches</vt:lpstr>
      <vt:lpstr>Feed - Players</vt:lpstr>
      <vt:lpstr>Feed - Tournaments</vt:lpstr>
      <vt:lpstr>Feed - Records</vt:lpstr>
      <vt:lpstr>Feed - Site Config</vt:lpstr>
      <vt:lpstr>Control Center</vt:lpstr>
      <vt:lpstr>Feed - Match History</vt:lpstr>
      <vt:lpstr>Feed - Page Media</vt:lpstr>
      <vt:lpstr>Feed - Awards</vt:lpstr>
      <vt:lpstr>Feed - Media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Meakings</dc:creator>
  <cp:lastModifiedBy>Jonathan Meakings</cp:lastModifiedBy>
  <dcterms:created xsi:type="dcterms:W3CDTF">2026-07-30T19:59:09Z</dcterms:created>
  <dcterms:modified xsi:type="dcterms:W3CDTF">2026-08-01T23:08:43Z</dcterms:modified>
</cp:coreProperties>
</file>